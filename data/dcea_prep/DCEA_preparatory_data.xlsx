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1_Interventions" sheetId="2" state="visible" r:id="rId2"/>
    <sheet xmlns:r="http://schemas.openxmlformats.org/officeDocument/2006/relationships" name="2_D_prevalence_by_cause" sheetId="3" state="visible" r:id="rId3"/>
    <sheet xmlns:r="http://schemas.openxmlformats.org/officeDocument/2006/relationships" name="3_E_coverage_by_indicator" sheetId="4" state="visible" r:id="rId4"/>
    <sheet xmlns:r="http://schemas.openxmlformats.org/officeDocument/2006/relationships" name="4_F_opportunity_cost_national" sheetId="5" state="visible" r:id="rId5"/>
    <sheet xmlns:r="http://schemas.openxmlformats.org/officeDocument/2006/relationships" name="5_CET_parameters" sheetId="6" state="visible" r:id="rId6"/>
    <sheet xmlns:r="http://schemas.openxmlformats.org/officeDocument/2006/relationships" name="6_Data_sources_Senegal"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sz val="10"/>
    </font>
    <font>
      <b val="1"/>
      <color rgb="001F4E78"/>
      <sz val="12"/>
    </font>
    <font>
      <b val="1"/>
    </font>
    <font>
      <b val="1"/>
      <color rgb="00FFFFFF"/>
    </font>
  </fonts>
  <fills count="7">
    <fill>
      <patternFill/>
    </fill>
    <fill>
      <patternFill patternType="gray125"/>
    </fill>
    <fill>
      <patternFill patternType="solid">
        <fgColor rgb="001F4E78"/>
      </patternFill>
    </fill>
    <fill>
      <patternFill patternType="solid">
        <fgColor rgb="00FFF2CC"/>
      </patternFill>
    </fill>
    <fill>
      <patternFill patternType="solid">
        <fgColor rgb="00D9EAD3"/>
      </patternFill>
    </fill>
    <fill>
      <patternFill patternType="solid">
        <fgColor rgb="00F4CCCC"/>
      </patternFill>
    </fill>
    <fill>
      <patternFill patternType="solid">
        <fgColor rgb="00FCE5C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wrapText="1"/>
    </xf>
    <xf numFmtId="0" fontId="0" fillId="4" borderId="1" applyAlignment="1" pivotButton="0" quotePrefix="0" xfId="0">
      <alignment vertical="top"/>
    </xf>
    <xf numFmtId="0" fontId="5" fillId="2" borderId="0" pivotButton="0" quotePrefix="0" xfId="0"/>
    <xf numFmtId="0" fontId="0" fillId="5" borderId="1" applyAlignment="1" pivotButton="0" quotePrefix="0" xfId="0">
      <alignment vertical="top"/>
    </xf>
    <xf numFmtId="0" fontId="0" fillId="5" borderId="1" applyAlignment="1" pivotButton="0" quotePrefix="0" xfId="0">
      <alignment vertical="top" wrapText="1"/>
    </xf>
    <xf numFmtId="0" fontId="0" fillId="5" borderId="0" pivotButton="0" quotePrefix="0" xfId="0"/>
    <xf numFmtId="0" fontId="0" fillId="4" borderId="0" pivotButton="0" quotePrefix="0" xfId="0"/>
    <xf numFmtId="0" fontId="0" fillId="6" borderId="1" applyAlignment="1" pivotButton="0" quotePrefix="0" xfId="0">
      <alignment vertical="top"/>
    </xf>
    <xf numFmtId="0" fontId="0" fillId="6" borderId="1" applyAlignment="1" pivotButton="0" quotePrefix="0" xfId="0">
      <alignment vertical="top"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1"/>
  <sheetViews>
    <sheetView workbookViewId="0">
      <selection activeCell="A1" sqref="A1"/>
    </sheetView>
  </sheetViews>
  <sheetFormatPr baseColWidth="8" defaultRowHeight="15"/>
  <cols>
    <col width="2" customWidth="1" min="1" max="1"/>
    <col width="26" customWidth="1" min="2" max="2"/>
    <col width="70" customWidth="1" min="3" max="3"/>
  </cols>
  <sheetData>
    <row r="2">
      <c r="B2" s="1" t="inlineStr">
        <is>
          <t>DCEA Senegal — Preparatory data</t>
        </is>
      </c>
    </row>
    <row r="3">
      <c r="B3" s="2" t="inlineStr">
        <is>
          <t>Preliminary step before R coding: identify, intervention by intervention, the data missing for a distributional cost-effectiveness analysis (DCEA), and record it in a traceable way.</t>
        </is>
      </c>
    </row>
    <row r="5" ht="30" customHeight="1">
      <c r="B5" s="3" t="inlineStr">
        <is>
          <t>Workbook structure</t>
        </is>
      </c>
    </row>
    <row r="6" ht="30" customHeight="1">
      <c r="B6" s="4" t="inlineStr">
        <is>
          <t>1_Interventions</t>
        </is>
      </c>
      <c r="C6" s="5" t="inlineStr">
        <is>
          <t>The 141 interventions linked to a Top-20-DALY cause (from 'Senegal HBP Tool - Top20 Causes'). For each, indicate which E indicator to use (tab 3) — the GBD cause (column F) is already linked to tab 2.</t>
        </is>
      </c>
    </row>
    <row r="7" ht="30" customHeight="1">
      <c r="B7" s="4" t="inlineStr">
        <is>
          <t>2_D_prevalence_by_cause</t>
        </is>
      </c>
      <c r="C7" s="5" t="inlineStr">
        <is>
          <t>One row per distinct GBD cause (14 in total). Distribution of prevalence by wealth quintile (Q1=poorest .. Q5=richest). Must sum to 100%.</t>
        </is>
      </c>
    </row>
    <row r="8" ht="30" customHeight="1">
      <c r="B8" s="4" t="inlineStr">
        <is>
          <t>3_E_coverage_by_indicator</t>
        </is>
      </c>
      <c r="C8" s="5" t="inlineStr">
        <is>
          <t>Starter catalog (16 indicators) of care-seeking/coverage by quintile. To be completed, and extended if an indicator is missing for an intervention in tab 1.</t>
        </is>
      </c>
    </row>
    <row r="9" ht="30" customHeight="1">
      <c r="B9" s="4" t="inlineStr">
        <is>
          <t>4_F_opportunity_cost_national</t>
        </is>
      </c>
      <c r="C9" s="5" t="inlineStr">
        <is>
          <t>A single national row: distribution of average public-sector care-seeking (all causes), used to allocate the health opportunity cost. Independent of the intervention (Arnold et al. 2020 method).</t>
        </is>
      </c>
    </row>
    <row r="10" ht="30" customHeight="1">
      <c r="B10" s="4" t="inlineStr">
        <is>
          <t>5_CET_parameters</t>
        </is>
      </c>
      <c r="C10" s="5" t="inlineStr">
        <is>
          <t>Cost-effectiveness threshold already used in the pipeline (435 $/DALY) and a reminder of the distinction with a health opportunity-cost threshold (Ochalek-type), to be documented separately if possible.</t>
        </is>
      </c>
    </row>
    <row r="11" ht="30" customHeight="1"/>
    <row r="12" ht="30" customHeight="1">
      <c r="B12" s="3" t="inlineStr">
        <is>
          <t>How to fill a row (tabs 2, 3, 4)</t>
        </is>
      </c>
    </row>
    <row r="13" ht="30" customHeight="1">
      <c r="B13" s="4" t="inlineStr">
        <is>
          <t>Q1 to Q5</t>
        </is>
      </c>
      <c r="C13" s="5" t="inlineStr">
        <is>
          <t>Share (%) attributable to each quintile — must sum to 100% (a check formula is provided).</t>
        </is>
      </c>
    </row>
    <row r="14" ht="30" customHeight="1">
      <c r="B14" s="4" t="inlineStr">
        <is>
          <t>Source</t>
        </is>
      </c>
      <c r="C14" s="5" t="inlineStr">
        <is>
          <t>Name of the survey/report (e.g. EDS-Continue Senegal 2023, EHCVM, STEPS Senegal, PNT report).</t>
        </is>
      </c>
    </row>
    <row r="15" ht="30" customHeight="1">
      <c r="B15" s="4" t="inlineStr">
        <is>
          <t>Year</t>
        </is>
      </c>
      <c r="C15" s="5" t="inlineStr">
        <is>
          <t>Year the survey used was collected.</t>
        </is>
      </c>
    </row>
    <row r="16" ht="30" customHeight="1">
      <c r="B16" s="4" t="inlineStr">
        <is>
          <t>Indicator / exact table</t>
        </is>
      </c>
      <c r="C16" s="5" t="inlineStr">
        <is>
          <t>Precise name of the indicator or table title in the source report — allows it to be found again.</t>
        </is>
      </c>
    </row>
    <row r="17" ht="30" customHeight="1">
      <c r="B17" s="4" t="inlineStr">
        <is>
          <t>Page / Table no.</t>
        </is>
      </c>
      <c r="C17" s="5" t="inlineStr">
        <is>
          <t>Exact reference (page or table number) for later verification.</t>
        </is>
      </c>
    </row>
    <row r="18" ht="30" customHeight="1">
      <c r="B18" s="4" t="inlineStr">
        <is>
          <t>Justification</t>
        </is>
      </c>
      <c r="C18" s="5" t="inlineStr">
        <is>
          <t>Why this value/indicator is an acceptable proxy for the cause or intervention concerned (or why a default assumption was used for lack of anything better).</t>
        </is>
      </c>
    </row>
    <row r="19" ht="30" customHeight="1">
      <c r="B19" s="4" t="inlineStr">
        <is>
          <t>Status</t>
        </is>
      </c>
      <c r="C19" s="5" t="inlineStr">
        <is>
          <t>To research / Filled / Verified — drop-down list.</t>
        </is>
      </c>
    </row>
    <row r="20" ht="30" customHeight="1"/>
    <row r="21" ht="30" customHeight="1">
      <c r="B21" s="4" t="inlineStr">
        <is>
          <t>Important</t>
        </is>
      </c>
      <c r="C21" s="5" t="inlineStr">
        <is>
          <t>Yellow-highlighted columns are the ones to complete. Suggestions already given in the 'Indicator / exact table' column of tabs 2 and 3 are RESEARCH LEADS, not verified values, unless a Source/Page has actually been filled in and the row is marked 'Filled'.</t>
        </is>
      </c>
    </row>
    <row r="22" ht="30"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20" customWidth="1" min="3" max="3"/>
    <col width="32" customWidth="1" min="4" max="4"/>
    <col width="32" customWidth="1" min="5" max="5"/>
    <col width="20" customWidth="1" min="6" max="6"/>
    <col width="22" customWidth="1" min="7" max="7"/>
    <col width="14" customWidth="1" min="8" max="8"/>
    <col width="20" customWidth="1" min="9" max="9"/>
    <col width="20" customWidth="1" min="10" max="10"/>
    <col width="14" customWidth="1" min="11" max="11"/>
    <col width="12" customWidth="1" min="12" max="12"/>
    <col width="22" customWidth="1" min="13" max="13"/>
    <col width="30" customWidth="1" min="14" max="14"/>
    <col width="26" customWidth="1" min="15" max="15"/>
  </cols>
  <sheetData>
    <row r="1">
      <c r="A1" s="6" t="inlineStr">
        <is>
          <t>#</t>
        </is>
      </c>
      <c r="B1" s="6" t="inlineStr">
        <is>
          <t>Main category</t>
        </is>
      </c>
      <c r="C1" s="6" t="inlineStr">
        <is>
          <t>Sub-category</t>
        </is>
      </c>
      <c r="D1" s="6" t="inlineStr">
        <is>
          <t>Intervention (EN)</t>
        </is>
      </c>
      <c r="E1" s="6" t="inlineStr">
        <is>
          <t>Intervention (FR)</t>
        </is>
      </c>
      <c r="F1" s="6" t="inlineStr">
        <is>
          <t>Main GBD cause (-&gt; tab 2)</t>
        </is>
      </c>
      <c r="G1" s="6" t="inlineStr">
        <is>
          <t>Target population (Senegal)</t>
        </is>
      </c>
      <c r="H1" s="6" t="inlineStr">
        <is>
          <t>Estimated cases 2023 (full implementation)</t>
        </is>
      </c>
      <c r="I1" s="6" t="inlineStr">
        <is>
          <t>Effectiveness status</t>
        </is>
      </c>
      <c r="J1" s="6" t="inlineStr">
        <is>
          <t>Cost status</t>
        </is>
      </c>
      <c r="K1" s="6" t="inlineStr">
        <is>
          <t>Demand status</t>
        </is>
      </c>
      <c r="L1" s="6" t="inlineStr">
        <is>
          <t>Eligible for league table</t>
        </is>
      </c>
      <c r="M1" s="6" t="inlineStr">
        <is>
          <t>E indicator to use (-&gt; tab 3, id)</t>
        </is>
      </c>
      <c r="N1" s="6" t="inlineStr">
        <is>
          <t>E-match justification</t>
        </is>
      </c>
      <c r="O1" s="6" t="inlineStr">
        <is>
          <t>Analyst notes</t>
        </is>
      </c>
    </row>
    <row r="2">
      <c r="A2" s="7" t="n">
        <v>93</v>
      </c>
      <c r="B2" s="7" t="inlineStr">
        <is>
          <t>Maternal/newborn and reproductive health</t>
        </is>
      </c>
      <c r="C2" s="7" t="inlineStr">
        <is>
          <t>Family planning</t>
        </is>
      </c>
      <c r="D2" s="8" t="inlineStr">
        <is>
          <t>Vaginal barrier method</t>
        </is>
      </c>
      <c r="E2" s="8" t="inlineStr">
        <is>
          <t>Méthode barrière vaginale</t>
        </is>
      </c>
      <c r="F2" s="7" t="inlineStr">
        <is>
          <t>Maternal disorders</t>
        </is>
      </c>
      <c r="G2" s="7" t="inlineStr">
        <is>
          <t>Women of reproductive age in union</t>
        </is>
      </c>
      <c r="H2" s="7" t="n">
        <v>2943975</v>
      </c>
      <c r="I2" s="7" t="inlineStr">
        <is>
          <t>Missing</t>
        </is>
      </c>
      <c r="J2" s="7" t="inlineStr">
        <is>
          <t>Available - Senegal ($2023)</t>
        </is>
      </c>
      <c r="K2" s="7" t="inlineStr">
        <is>
          <t>Available</t>
        </is>
      </c>
      <c r="L2" s="7" t="inlineStr">
        <is>
          <t>No</t>
        </is>
      </c>
      <c r="M2" s="9" t="inlineStr"/>
      <c r="N2" s="9" t="inlineStr"/>
      <c r="O2" s="9" t="inlineStr"/>
    </row>
    <row r="3">
      <c r="A3" s="7" t="n">
        <v>212</v>
      </c>
      <c r="B3" s="7" t="inlineStr">
        <is>
          <t>Non-communicable diseases</t>
        </is>
      </c>
      <c r="C3" s="7" t="inlineStr">
        <is>
          <t>CVD &amp; diabetes</t>
        </is>
      </c>
      <c r="D3" s="8" t="inlineStr">
        <is>
          <t>Intensive glycemic control</t>
        </is>
      </c>
      <c r="E3" s="8" t="inlineStr">
        <is>
          <t>Contrôle glycémique intensif</t>
        </is>
      </c>
      <c r="F3" s="7" t="inlineStr">
        <is>
          <t>Diabetes mellitus</t>
        </is>
      </c>
      <c r="G3" s="7" t="inlineStr">
        <is>
          <t>People with diabetes</t>
        </is>
      </c>
      <c r="H3" s="7" t="n">
        <v>249876</v>
      </c>
      <c r="I3" s="7" t="inlineStr">
        <is>
          <t>Available - Tufts (Ratios)</t>
        </is>
      </c>
      <c r="J3" s="7" t="inlineStr">
        <is>
          <t>Available - Senegal ($2023)</t>
        </is>
      </c>
      <c r="K3" s="7" t="inlineStr">
        <is>
          <t>Available</t>
        </is>
      </c>
      <c r="L3" s="7" t="inlineStr">
        <is>
          <t>Yes</t>
        </is>
      </c>
      <c r="M3" s="9" t="inlineStr"/>
      <c r="N3" s="9" t="inlineStr"/>
      <c r="O3" s="9" t="inlineStr"/>
    </row>
    <row r="4">
      <c r="A4" s="7" t="n">
        <v>211</v>
      </c>
      <c r="B4" s="7" t="inlineStr">
        <is>
          <t>Non-communicable diseases</t>
        </is>
      </c>
      <c r="C4" s="7" t="inlineStr">
        <is>
          <t>CVD &amp; diabetes</t>
        </is>
      </c>
      <c r="D4" s="8" t="inlineStr">
        <is>
          <t>Standard Glycemic control</t>
        </is>
      </c>
      <c r="E4" s="8" t="inlineStr">
        <is>
          <t>Contrôle glycémique standard</t>
        </is>
      </c>
      <c r="F4" s="7" t="inlineStr">
        <is>
          <t>Diabetes mellitus</t>
        </is>
      </c>
      <c r="G4" s="7" t="inlineStr">
        <is>
          <t>People with diabetes</t>
        </is>
      </c>
      <c r="H4" s="7" t="n">
        <v>249876</v>
      </c>
      <c r="I4" s="7" t="inlineStr">
        <is>
          <t>Available - Tufts (Ratios)</t>
        </is>
      </c>
      <c r="J4" s="7" t="inlineStr">
        <is>
          <t>Available - Senegal ($2023)</t>
        </is>
      </c>
      <c r="K4" s="7" t="inlineStr">
        <is>
          <t>Available</t>
        </is>
      </c>
      <c r="L4" s="7" t="inlineStr">
        <is>
          <t>Yes</t>
        </is>
      </c>
      <c r="M4" s="9" t="inlineStr"/>
      <c r="N4" s="9" t="inlineStr"/>
      <c r="O4" s="9" t="inlineStr"/>
    </row>
    <row r="5">
      <c r="A5" s="7" t="n">
        <v>94</v>
      </c>
      <c r="B5" s="7" t="inlineStr">
        <is>
          <t>Maternal/newborn and reproductive health</t>
        </is>
      </c>
      <c r="C5" s="7" t="inlineStr">
        <is>
          <t>Family planning</t>
        </is>
      </c>
      <c r="D5" s="8" t="inlineStr">
        <is>
          <t>Vaginal tablets</t>
        </is>
      </c>
      <c r="E5" s="8" t="inlineStr">
        <is>
          <t>Comprimés vaginaux (spermicides)</t>
        </is>
      </c>
      <c r="F5" s="7" t="inlineStr">
        <is>
          <t>Maternal disorders</t>
        </is>
      </c>
      <c r="G5" s="7" t="inlineStr">
        <is>
          <t>Women of reproductive age in union</t>
        </is>
      </c>
      <c r="H5" s="7" t="n">
        <v>2943975</v>
      </c>
      <c r="I5" s="7" t="inlineStr">
        <is>
          <t>Missing</t>
        </is>
      </c>
      <c r="J5" s="7" t="inlineStr">
        <is>
          <t>Available - Senegal ($2023)</t>
        </is>
      </c>
      <c r="K5" s="7" t="inlineStr">
        <is>
          <t>Available</t>
        </is>
      </c>
      <c r="L5" s="7" t="inlineStr">
        <is>
          <t>No</t>
        </is>
      </c>
      <c r="M5" s="9" t="inlineStr"/>
      <c r="N5" s="9" t="inlineStr"/>
      <c r="O5" s="9" t="inlineStr"/>
    </row>
    <row r="6">
      <c r="A6" s="7" t="n">
        <v>77</v>
      </c>
      <c r="B6" s="7" t="inlineStr">
        <is>
          <t>Maternal/newborn and reproductive health</t>
        </is>
      </c>
      <c r="C6" s="7" t="inlineStr">
        <is>
          <t>Family planning</t>
        </is>
      </c>
      <c r="D6" s="8" t="inlineStr">
        <is>
          <t>Condom - Male</t>
        </is>
      </c>
      <c r="E6" s="8" t="inlineStr">
        <is>
          <t>Préservatif masculin</t>
        </is>
      </c>
      <c r="F6" s="7" t="inlineStr">
        <is>
          <t>Maternal disorders</t>
        </is>
      </c>
      <c r="G6" s="7" t="inlineStr">
        <is>
          <t>Women of reproductive age in union</t>
        </is>
      </c>
      <c r="H6" s="7" t="n">
        <v>2943975</v>
      </c>
      <c r="I6" s="7" t="inlineStr">
        <is>
          <t>Missing</t>
        </is>
      </c>
      <c r="J6" s="7" t="inlineStr">
        <is>
          <t>Available - Senegal ($2023)</t>
        </is>
      </c>
      <c r="K6" s="7" t="inlineStr">
        <is>
          <t>Available</t>
        </is>
      </c>
      <c r="L6" s="7" t="inlineStr">
        <is>
          <t>No</t>
        </is>
      </c>
      <c r="M6" s="9" t="inlineStr"/>
      <c r="N6" s="9" t="inlineStr"/>
      <c r="O6" s="9" t="inlineStr"/>
    </row>
    <row r="7">
      <c r="A7" s="7" t="n">
        <v>1</v>
      </c>
      <c r="B7" s="7" t="inlineStr">
        <is>
          <t>Child health</t>
        </is>
      </c>
      <c r="C7" s="7" t="inlineStr">
        <is>
          <t>Child health</t>
        </is>
      </c>
      <c r="D7" s="8" t="inlineStr">
        <is>
          <t>Zinc supplementation</t>
        </is>
      </c>
      <c r="E7" s="8" t="inlineStr">
        <is>
          <t>Supplémentation en zinc</t>
        </is>
      </c>
      <c r="F7" s="7" t="inlineStr">
        <is>
          <t>Diarrheal diseases</t>
        </is>
      </c>
      <c r="G7" s="7" t="inlineStr">
        <is>
          <t>Children 12-59 months</t>
        </is>
      </c>
      <c r="H7" s="7" t="n">
        <v>2410187</v>
      </c>
      <c r="I7" s="7" t="inlineStr">
        <is>
          <t>Available - Tufts (Ratios)</t>
        </is>
      </c>
      <c r="J7" s="7" t="inlineStr">
        <is>
          <t>Available - Senegal ($2023)</t>
        </is>
      </c>
      <c r="K7" s="7" t="inlineStr">
        <is>
          <t>Available</t>
        </is>
      </c>
      <c r="L7" s="7" t="inlineStr">
        <is>
          <t>Yes</t>
        </is>
      </c>
      <c r="M7" s="9" t="inlineStr"/>
      <c r="N7" s="9" t="inlineStr"/>
      <c r="O7" s="9" t="inlineStr"/>
    </row>
    <row r="8">
      <c r="A8" s="7" t="n">
        <v>207</v>
      </c>
      <c r="B8" s="7" t="inlineStr">
        <is>
          <t>Non-communicable diseases</t>
        </is>
      </c>
      <c r="C8" s="7" t="inlineStr">
        <is>
          <t>CVD &amp; diabetes</t>
        </is>
      </c>
      <c r="D8" s="8" t="inlineStr">
        <is>
          <t>Treatment for those with high absolute risk of CVD/diabetes</t>
        </is>
      </c>
      <c r="E8" s="8" t="inlineStr">
        <is>
          <t>Traitement pour risque absolu CV/diabète élevé</t>
        </is>
      </c>
      <c r="F8" s="7" t="inlineStr">
        <is>
          <t>Ischemic heart disease</t>
        </is>
      </c>
      <c r="G8" s="7" t="inlineStr">
        <is>
          <t>People with a greater than 30% chance of developing CVD or diabetes</t>
        </is>
      </c>
      <c r="H8" s="7" t="n">
        <v>249686</v>
      </c>
      <c r="I8" s="7" t="inlineStr">
        <is>
          <t>Available - Tufts (Ratios)</t>
        </is>
      </c>
      <c r="J8" s="7" t="inlineStr">
        <is>
          <t>Available - Senegal ($2023)</t>
        </is>
      </c>
      <c r="K8" s="7" t="inlineStr">
        <is>
          <t>Available</t>
        </is>
      </c>
      <c r="L8" s="7" t="inlineStr">
        <is>
          <t>Yes</t>
        </is>
      </c>
      <c r="M8" s="9" t="inlineStr"/>
      <c r="N8" s="9" t="inlineStr"/>
      <c r="O8" s="9" t="inlineStr"/>
    </row>
    <row r="9">
      <c r="A9" s="7" t="n">
        <v>214</v>
      </c>
      <c r="B9" s="7" t="inlineStr">
        <is>
          <t>Non-communicable diseases</t>
        </is>
      </c>
      <c r="C9" s="7" t="inlineStr">
        <is>
          <t>CVD &amp; diabetes</t>
        </is>
      </c>
      <c r="D9" s="8" t="inlineStr">
        <is>
          <t>Neuropathy screening and preventive foot care</t>
        </is>
      </c>
      <c r="E9" s="8" t="inlineStr">
        <is>
          <t>Dépistage de la neuropathie et soins podologiques préventifs</t>
        </is>
      </c>
      <c r="F9" s="7" t="inlineStr">
        <is>
          <t>Diabetes mellitus</t>
        </is>
      </c>
      <c r="G9" s="7" t="inlineStr">
        <is>
          <t>People with diabetes</t>
        </is>
      </c>
      <c r="H9" s="7" t="n">
        <v>249876</v>
      </c>
      <c r="I9" s="7" t="inlineStr">
        <is>
          <t>Available - Tufts (Ratios)</t>
        </is>
      </c>
      <c r="J9" s="7" t="inlineStr">
        <is>
          <t>Available - Senegal ($2023)</t>
        </is>
      </c>
      <c r="K9" s="7" t="inlineStr">
        <is>
          <t>Available</t>
        </is>
      </c>
      <c r="L9" s="7" t="inlineStr">
        <is>
          <t>Yes</t>
        </is>
      </c>
      <c r="M9" s="9" t="inlineStr"/>
      <c r="N9" s="9" t="inlineStr"/>
      <c r="O9" s="9" t="inlineStr"/>
    </row>
    <row r="10">
      <c r="A10" s="7" t="n">
        <v>60</v>
      </c>
      <c r="B10" s="7" t="inlineStr">
        <is>
          <t>Malaria</t>
        </is>
      </c>
      <c r="C10" s="7" t="inlineStr">
        <is>
          <t>Prevention</t>
        </is>
      </c>
      <c r="D10" s="8" t="inlineStr">
        <is>
          <t>Pregnant women sleeping under an ITN</t>
        </is>
      </c>
      <c r="E10" s="8" t="inlineStr">
        <is>
          <t>Femmes enceintes dormant sous MII</t>
        </is>
      </c>
      <c r="F10" s="7" t="inlineStr">
        <is>
          <t>Malaria</t>
        </is>
      </c>
      <c r="G10" s="7" t="inlineStr">
        <is>
          <t>Pregnant women</t>
        </is>
      </c>
      <c r="H10" s="7" t="n">
        <v>686388</v>
      </c>
      <c r="I10" s="7" t="inlineStr">
        <is>
          <t>Available - Tufts (Ratios)</t>
        </is>
      </c>
      <c r="J10" s="7" t="inlineStr">
        <is>
          <t>Available - Senegal ($2023)</t>
        </is>
      </c>
      <c r="K10" s="7" t="inlineStr">
        <is>
          <t>Available</t>
        </is>
      </c>
      <c r="L10" s="7" t="inlineStr">
        <is>
          <t>Yes</t>
        </is>
      </c>
      <c r="M10" s="9" t="inlineStr"/>
      <c r="N10" s="9" t="inlineStr"/>
      <c r="O10" s="9" t="inlineStr"/>
    </row>
    <row r="11">
      <c r="A11" s="7" t="n">
        <v>145</v>
      </c>
      <c r="B11" s="7" t="inlineStr">
        <is>
          <t>Mental, neurological, and substance use disorders</t>
        </is>
      </c>
      <c r="C11" s="7" t="inlineStr">
        <is>
          <t>Depression</t>
        </is>
      </c>
      <c r="D11" s="8" t="inlineStr">
        <is>
          <t>Intensive psychosocial treatment and anti-depressant medication of recurrent moderate-severe cases on a maintenance basis</t>
        </is>
      </c>
      <c r="E11" s="8" t="inlineStr">
        <is>
          <t>Traitement psychosocial intensif et antidépresseur, épisodes récurrents modérés-sévères (traitement d'entretien)</t>
        </is>
      </c>
      <c r="F11" s="7" t="inlineStr">
        <is>
          <t>Depressive disorders</t>
        </is>
      </c>
      <c r="G11" s="7" t="inlineStr">
        <is>
          <t>People with depression</t>
        </is>
      </c>
      <c r="H11" s="7" t="n">
        <v>148053</v>
      </c>
      <c r="I11" s="7" t="inlineStr">
        <is>
          <t>Available - Tufts (Ratios)</t>
        </is>
      </c>
      <c r="J11" s="7" t="inlineStr">
        <is>
          <t>Available - Senegal ($2023)</t>
        </is>
      </c>
      <c r="K11" s="7" t="inlineStr">
        <is>
          <t>Available</t>
        </is>
      </c>
      <c r="L11" s="7" t="inlineStr">
        <is>
          <t>Yes</t>
        </is>
      </c>
      <c r="M11" s="9" t="inlineStr"/>
      <c r="N11" s="9" t="inlineStr"/>
      <c r="O11" s="9" t="inlineStr"/>
    </row>
    <row r="12">
      <c r="A12" s="7" t="n">
        <v>330</v>
      </c>
      <c r="B12" s="7" t="inlineStr">
        <is>
          <t>TB</t>
        </is>
      </c>
      <c r="C12" s="7" t="inlineStr">
        <is>
          <t>TB diagnosis with Xpert (molecular)</t>
        </is>
      </c>
      <c r="D12" s="8" t="inlineStr">
        <is>
          <t>Initial diagnosis with Xpert: Passive TB case finding, HIV-negative adults</t>
        </is>
      </c>
      <c r="E12" s="8" t="inlineStr">
        <is>
          <t>Diagnostic initial par Xpert : dépistage passif, adultes VIH-négatifs</t>
        </is>
      </c>
      <c r="F12" s="7" t="inlineStr">
        <is>
          <t>Tuberculosis</t>
        </is>
      </c>
      <c r="G12" s="7" t="inlineStr">
        <is>
          <t>Number of new pulmonary TB cases</t>
        </is>
      </c>
      <c r="H12" s="7" t="n">
        <v>108850</v>
      </c>
      <c r="I12" s="7" t="inlineStr">
        <is>
          <t>Available - Tufts (Ratios)</t>
        </is>
      </c>
      <c r="J12" s="7" t="inlineStr">
        <is>
          <t>Available - Senegal ($2023)</t>
        </is>
      </c>
      <c r="K12" s="7" t="inlineStr">
        <is>
          <t>Available</t>
        </is>
      </c>
      <c r="L12" s="7" t="inlineStr">
        <is>
          <t>Yes</t>
        </is>
      </c>
      <c r="M12" s="9" t="inlineStr"/>
      <c r="N12" s="9" t="inlineStr"/>
      <c r="O12" s="9" t="inlineStr"/>
    </row>
    <row r="13">
      <c r="A13" s="7" t="n">
        <v>333</v>
      </c>
      <c r="B13" s="7" t="inlineStr">
        <is>
          <t>TB</t>
        </is>
      </c>
      <c r="C13" s="7" t="inlineStr">
        <is>
          <t>TB diagnosis with Xpert (molecular)</t>
        </is>
      </c>
      <c r="D13" s="8" t="inlineStr">
        <is>
          <t>Initial diagnosis with Xpert: Active TB case finding, children</t>
        </is>
      </c>
      <c r="E13" s="8" t="inlineStr">
        <is>
          <t>Diagnostic initial par Xpert : dépistage actif, enfants</t>
        </is>
      </c>
      <c r="F13" s="7" t="inlineStr">
        <is>
          <t>Tuberculosis</t>
        </is>
      </c>
      <c r="G13" s="7" t="inlineStr">
        <is>
          <t>Number of new pulmonary TB cases</t>
        </is>
      </c>
      <c r="H13" s="7" t="n">
        <v>108850</v>
      </c>
      <c r="I13" s="7" t="inlineStr">
        <is>
          <t>Available - Tufts (Ratios)</t>
        </is>
      </c>
      <c r="J13" s="7" t="inlineStr">
        <is>
          <t>Available - Senegal ($2023)</t>
        </is>
      </c>
      <c r="K13" s="7" t="inlineStr">
        <is>
          <t>Available</t>
        </is>
      </c>
      <c r="L13" s="7" t="inlineStr">
        <is>
          <t>Yes</t>
        </is>
      </c>
      <c r="M13" s="9" t="inlineStr"/>
      <c r="N13" s="9" t="inlineStr"/>
      <c r="O13" s="9" t="inlineStr"/>
    </row>
    <row r="14">
      <c r="A14" s="7" t="n">
        <v>334</v>
      </c>
      <c r="B14" s="7" t="inlineStr">
        <is>
          <t>TB</t>
        </is>
      </c>
      <c r="C14" s="7" t="inlineStr">
        <is>
          <t>TB diagnosis with Xpert (molecular)</t>
        </is>
      </c>
      <c r="D14" s="8" t="inlineStr">
        <is>
          <t>Initial diagnosis with Xpert: Active TB case finding, adults</t>
        </is>
      </c>
      <c r="E14" s="8" t="inlineStr">
        <is>
          <t>Diagnostic initial par Xpert : dépistage actif, adultes</t>
        </is>
      </c>
      <c r="F14" s="7" t="inlineStr">
        <is>
          <t>Tuberculosis</t>
        </is>
      </c>
      <c r="G14" s="7" t="inlineStr">
        <is>
          <t>Number of new pulmonary TB cases</t>
        </is>
      </c>
      <c r="H14" s="7" t="n">
        <v>108850</v>
      </c>
      <c r="I14" s="7" t="inlineStr">
        <is>
          <t>Available - Tufts (Ratios)</t>
        </is>
      </c>
      <c r="J14" s="7" t="inlineStr">
        <is>
          <t>Available - Senegal ($2023)</t>
        </is>
      </c>
      <c r="K14" s="7" t="inlineStr">
        <is>
          <t>Available</t>
        </is>
      </c>
      <c r="L14" s="7" t="inlineStr">
        <is>
          <t>Yes</t>
        </is>
      </c>
      <c r="M14" s="9" t="inlineStr"/>
      <c r="N14" s="9" t="inlineStr"/>
      <c r="O14" s="9" t="inlineStr"/>
    </row>
    <row r="15">
      <c r="A15" s="7" t="n">
        <v>112</v>
      </c>
      <c r="B15" s="7" t="inlineStr">
        <is>
          <t>Maternal/newborn and reproductive health</t>
        </is>
      </c>
      <c r="C15" s="7" t="inlineStr">
        <is>
          <t>Childbirth care - Facility births</t>
        </is>
      </c>
      <c r="D15" s="8" t="inlineStr">
        <is>
          <t>Antibiotics for maternal sepsis</t>
        </is>
      </c>
      <c r="E15" s="8" t="inlineStr">
        <is>
          <t>Antibiotiques pour le sepsis maternel</t>
        </is>
      </c>
      <c r="F15" s="7" t="inlineStr">
        <is>
          <t>Maternal disorders</t>
        </is>
      </c>
      <c r="G15" s="7" t="inlineStr">
        <is>
          <t>Pregnancies carried to term</t>
        </is>
      </c>
      <c r="H15" s="7" t="n">
        <v>22213</v>
      </c>
      <c r="I15" s="7" t="inlineStr">
        <is>
          <t>Available - Tufts (Ratios)</t>
        </is>
      </c>
      <c r="J15" s="7" t="inlineStr">
        <is>
          <t>Available - Senegal ($2023)</t>
        </is>
      </c>
      <c r="K15" s="7" t="inlineStr">
        <is>
          <t>Available</t>
        </is>
      </c>
      <c r="L15" s="7" t="inlineStr">
        <is>
          <t>Yes</t>
        </is>
      </c>
      <c r="M15" s="9" t="inlineStr"/>
      <c r="N15" s="9" t="inlineStr"/>
      <c r="O15" s="9" t="inlineStr"/>
    </row>
    <row r="16">
      <c r="A16" s="7" t="n">
        <v>116</v>
      </c>
      <c r="B16" s="7" t="inlineStr">
        <is>
          <t>Maternal/newborn and reproductive health</t>
        </is>
      </c>
      <c r="C16" s="7" t="inlineStr">
        <is>
          <t>Childbirth care - Facility births</t>
        </is>
      </c>
      <c r="D16" s="8" t="inlineStr">
        <is>
          <t>Management of obstructed labor</t>
        </is>
      </c>
      <c r="E16" s="8" t="inlineStr">
        <is>
          <t>Prise en charge du travail dystocique/obstrué</t>
        </is>
      </c>
      <c r="F16" s="7" t="inlineStr">
        <is>
          <t>Maternal disorders</t>
        </is>
      </c>
      <c r="G16" s="7" t="inlineStr">
        <is>
          <t>Pregnancies carried to term</t>
        </is>
      </c>
      <c r="H16" s="7" t="n">
        <v>67722</v>
      </c>
      <c r="I16" s="7" t="inlineStr">
        <is>
          <t>Available - Uganda fallback</t>
        </is>
      </c>
      <c r="J16" s="7" t="inlineStr">
        <is>
          <t>Available - Senegal ($2023)</t>
        </is>
      </c>
      <c r="K16" s="7" t="inlineStr">
        <is>
          <t>Available</t>
        </is>
      </c>
      <c r="L16" s="7" t="inlineStr">
        <is>
          <t>Yes</t>
        </is>
      </c>
      <c r="M16" s="9" t="inlineStr"/>
      <c r="N16" s="9" t="inlineStr"/>
      <c r="O16" s="9" t="inlineStr"/>
    </row>
    <row r="17">
      <c r="A17" s="7" t="n">
        <v>139</v>
      </c>
      <c r="B17" s="7" t="inlineStr">
        <is>
          <t>Mental, neurological, and substance use disorders</t>
        </is>
      </c>
      <c r="C17" s="7" t="inlineStr">
        <is>
          <t>Anxiety disorders</t>
        </is>
      </c>
      <c r="D17" s="8" t="inlineStr">
        <is>
          <t>Basic psychosocial treatment and anti-depressant medication for anxiety disorders (moderate-severe cases)</t>
        </is>
      </c>
      <c r="E17" s="8" t="inlineStr">
        <is>
          <t>Traitement psychosocial de base et antidépresseur pour troubles anxieux (cas modérés-sévères)</t>
        </is>
      </c>
      <c r="F17" s="7" t="inlineStr">
        <is>
          <t>Anxiety disorders</t>
        </is>
      </c>
      <c r="G17" s="7" t="inlineStr">
        <is>
          <t>People with anxiety</t>
        </is>
      </c>
      <c r="H17" s="7" t="n">
        <v>213007</v>
      </c>
      <c r="I17" s="7" t="inlineStr">
        <is>
          <t>Available - Tufts (Ratios)</t>
        </is>
      </c>
      <c r="J17" s="7" t="inlineStr">
        <is>
          <t>Available - Senegal ($2023)</t>
        </is>
      </c>
      <c r="K17" s="7" t="inlineStr">
        <is>
          <t>Available</t>
        </is>
      </c>
      <c r="L17" s="7" t="inlineStr">
        <is>
          <t>Yes</t>
        </is>
      </c>
      <c r="M17" s="9" t="inlineStr"/>
      <c r="N17" s="9" t="inlineStr"/>
      <c r="O17" s="9" t="inlineStr"/>
    </row>
    <row r="18">
      <c r="A18" s="7" t="n">
        <v>140</v>
      </c>
      <c r="B18" s="7" t="inlineStr">
        <is>
          <t>Mental, neurological, and substance use disorders</t>
        </is>
      </c>
      <c r="C18" s="7" t="inlineStr">
        <is>
          <t>Anxiety disorders</t>
        </is>
      </c>
      <c r="D18" s="8" t="inlineStr">
        <is>
          <t>Intensive psychosocial treatment and anti-depressant medication for anxiety disorders (moderate-severe cases)</t>
        </is>
      </c>
      <c r="E18" s="8" t="inlineStr">
        <is>
          <t>Traitement psychosocial intensif et antidépresseur pour troubles anxieux (cas modérés-sévères)</t>
        </is>
      </c>
      <c r="F18" s="7" t="inlineStr">
        <is>
          <t>Anxiety disorders</t>
        </is>
      </c>
      <c r="G18" s="7" t="inlineStr">
        <is>
          <t>People with anxiety</t>
        </is>
      </c>
      <c r="H18" s="7" t="n">
        <v>213007</v>
      </c>
      <c r="I18" s="7" t="inlineStr">
        <is>
          <t>Available - Tufts (Ratios)</t>
        </is>
      </c>
      <c r="J18" s="7" t="inlineStr">
        <is>
          <t>Available - Senegal ($2023)</t>
        </is>
      </c>
      <c r="K18" s="7" t="inlineStr">
        <is>
          <t>Available</t>
        </is>
      </c>
      <c r="L18" s="7" t="inlineStr">
        <is>
          <t>Yes</t>
        </is>
      </c>
      <c r="M18" s="9" t="inlineStr"/>
      <c r="N18" s="9" t="inlineStr"/>
      <c r="O18" s="9" t="inlineStr"/>
    </row>
    <row r="19">
      <c r="A19" s="7" t="n">
        <v>210</v>
      </c>
      <c r="B19" s="7" t="inlineStr">
        <is>
          <t>Non-communicable diseases</t>
        </is>
      </c>
      <c r="C19" s="7" t="inlineStr">
        <is>
          <t>CVD &amp; diabetes</t>
        </is>
      </c>
      <c r="D19" s="8" t="inlineStr">
        <is>
          <t>Treatment for those with established cerebrovascular disease and post stroke</t>
        </is>
      </c>
      <c r="E19" s="8" t="inlineStr">
        <is>
          <t>Traitement de la maladie cérébrovasculaire établie / post-AVC</t>
        </is>
      </c>
      <c r="F19" s="7" t="inlineStr">
        <is>
          <t>Stroke</t>
        </is>
      </c>
      <c r="G19" s="7" t="inlineStr">
        <is>
          <t>People with post-acute strokes or both post-acute strokes and IHD</t>
        </is>
      </c>
      <c r="H19" s="7" t="n">
        <v>21654</v>
      </c>
      <c r="I19" s="7" t="inlineStr">
        <is>
          <t>Missing</t>
        </is>
      </c>
      <c r="J19" s="7" t="inlineStr">
        <is>
          <t>Available - Senegal ($2023)</t>
        </is>
      </c>
      <c r="K19" s="7" t="inlineStr">
        <is>
          <t>Available</t>
        </is>
      </c>
      <c r="L19" s="7" t="inlineStr">
        <is>
          <t>No</t>
        </is>
      </c>
      <c r="M19" s="9" t="inlineStr"/>
      <c r="N19" s="9" t="inlineStr"/>
      <c r="O19" s="9" t="inlineStr"/>
    </row>
    <row r="20">
      <c r="A20" s="7" t="n">
        <v>37</v>
      </c>
      <c r="B20" s="7" t="inlineStr">
        <is>
          <t>HIV/AIDS</t>
        </is>
      </c>
      <c r="C20" s="7" t="inlineStr">
        <is>
          <t>Care and treatment</t>
        </is>
      </c>
      <c r="D20" s="8" t="inlineStr">
        <is>
          <t>ART (Second-Line Treatment) for adults</t>
        </is>
      </c>
      <c r="E20" s="8" t="inlineStr">
        <is>
          <t>TAR - traitement de 2e ligne (adultes)</t>
        </is>
      </c>
      <c r="F20" s="7" t="inlineStr">
        <is>
          <t>HIV/AIDS</t>
        </is>
      </c>
      <c r="G20" s="7" t="e">
        <v>#N/A</v>
      </c>
      <c r="H20" s="7" t="n">
        <v>2137</v>
      </c>
      <c r="I20" s="7" t="inlineStr">
        <is>
          <t>Available - Uganda fallback</t>
        </is>
      </c>
      <c r="J20" s="7" t="inlineStr">
        <is>
          <t>Available - Senegal ($2023)</t>
        </is>
      </c>
      <c r="K20" s="7" t="inlineStr">
        <is>
          <t>Available</t>
        </is>
      </c>
      <c r="L20" s="7" t="inlineStr">
        <is>
          <t>Yes</t>
        </is>
      </c>
      <c r="M20" s="9" t="inlineStr"/>
      <c r="N20" s="9" t="inlineStr"/>
      <c r="O20" s="9" t="inlineStr"/>
    </row>
    <row r="21">
      <c r="A21" s="7" t="n">
        <v>122</v>
      </c>
      <c r="B21" s="7" t="inlineStr">
        <is>
          <t>Maternal/newborn and reproductive health</t>
        </is>
      </c>
      <c r="C21" s="7" t="inlineStr">
        <is>
          <t>Postpartum care - Treatment of sepsis</t>
        </is>
      </c>
      <c r="D21" s="8" t="inlineStr">
        <is>
          <t>Maternal sepsis case management</t>
        </is>
      </c>
      <c r="E21" s="8" t="inlineStr">
        <is>
          <t>Prise en charge du sepsis maternel</t>
        </is>
      </c>
      <c r="F21" s="7" t="inlineStr">
        <is>
          <t>Maternal disorders</t>
        </is>
      </c>
      <c r="G21" s="7" t="inlineStr">
        <is>
          <t>Pregnancies carried to term</t>
        </is>
      </c>
      <c r="H21" s="7" t="n">
        <v>22213</v>
      </c>
      <c r="I21" s="7" t="inlineStr">
        <is>
          <t>Available - Tufts (Ratios)</t>
        </is>
      </c>
      <c r="J21" s="7" t="inlineStr">
        <is>
          <t>Available - Senegal ($2023)</t>
        </is>
      </c>
      <c r="K21" s="7" t="inlineStr">
        <is>
          <t>Available</t>
        </is>
      </c>
      <c r="L21" s="7" t="inlineStr">
        <is>
          <t>Yes</t>
        </is>
      </c>
      <c r="M21" s="9" t="inlineStr"/>
      <c r="N21" s="9" t="inlineStr"/>
      <c r="O21" s="9" t="inlineStr"/>
    </row>
    <row r="22">
      <c r="A22" s="7" t="n">
        <v>105</v>
      </c>
      <c r="B22" s="7" t="inlineStr">
        <is>
          <t>Maternal/newborn and reproductive health</t>
        </is>
      </c>
      <c r="C22" s="7" t="inlineStr">
        <is>
          <t>Childbirth care - Facility births</t>
        </is>
      </c>
      <c r="D22" s="8" t="inlineStr">
        <is>
          <t>Pre-referral management of labor complications</t>
        </is>
      </c>
      <c r="E22" s="8" t="inlineStr">
        <is>
          <t>Prise en charge pré-référencement des complications du travail</t>
        </is>
      </c>
      <c r="F22" s="7" t="inlineStr">
        <is>
          <t>Maternal disorders</t>
        </is>
      </c>
      <c r="G22" s="7" t="inlineStr">
        <is>
          <t>Pregnancies carried to term</t>
        </is>
      </c>
      <c r="H22" s="7" t="n">
        <v>27089</v>
      </c>
      <c r="I22" s="7" t="inlineStr">
        <is>
          <t>Available - Tufts (Ratios)</t>
        </is>
      </c>
      <c r="J22" s="7" t="inlineStr">
        <is>
          <t>Available - Senegal ($2023)</t>
        </is>
      </c>
      <c r="K22" s="7" t="inlineStr">
        <is>
          <t>Available</t>
        </is>
      </c>
      <c r="L22" s="7" t="inlineStr">
        <is>
          <t>Yes</t>
        </is>
      </c>
      <c r="M22" s="9" t="inlineStr"/>
      <c r="N22" s="9" t="inlineStr"/>
      <c r="O22" s="9" t="inlineStr"/>
    </row>
    <row r="23">
      <c r="A23" s="7" t="n">
        <v>127</v>
      </c>
      <c r="B23" s="7" t="inlineStr">
        <is>
          <t>Maternal/newborn and reproductive health</t>
        </is>
      </c>
      <c r="C23" s="7" t="inlineStr">
        <is>
          <t>Childbirth care - Facility births</t>
        </is>
      </c>
      <c r="D23" s="8" t="inlineStr">
        <is>
          <t>Feeding counselling and support for low-birth-weight infants</t>
        </is>
      </c>
      <c r="E23" s="8" t="inlineStr">
        <is>
          <t>Conseil et soutien alimentaire pour nouveau-nés de faible poids</t>
        </is>
      </c>
      <c r="F23" s="7" t="inlineStr">
        <is>
          <t>Neonatal disorders</t>
        </is>
      </c>
      <c r="G23" s="7" t="inlineStr">
        <is>
          <t>Live births</t>
        </is>
      </c>
      <c r="H23" s="7" t="n">
        <v>101007</v>
      </c>
      <c r="I23" s="7" t="inlineStr">
        <is>
          <t>Available - Tufts (Ratios)</t>
        </is>
      </c>
      <c r="J23" s="7" t="inlineStr">
        <is>
          <t>Available - Senegal ($2023)</t>
        </is>
      </c>
      <c r="K23" s="7" t="inlineStr">
        <is>
          <t>Available</t>
        </is>
      </c>
      <c r="L23" s="7" t="inlineStr">
        <is>
          <t>Yes</t>
        </is>
      </c>
      <c r="M23" s="9" t="inlineStr"/>
      <c r="N23" s="9" t="inlineStr"/>
      <c r="O23" s="9" t="inlineStr"/>
    </row>
    <row r="24">
      <c r="A24" s="7" t="n">
        <v>144</v>
      </c>
      <c r="B24" s="7" t="inlineStr">
        <is>
          <t>Mental, neurological, and substance use disorders</t>
        </is>
      </c>
      <c r="C24" s="7" t="inlineStr">
        <is>
          <t>Depression</t>
        </is>
      </c>
      <c r="D24" s="8" t="inlineStr">
        <is>
          <t>Intensive psychosocial treatment and anti-depressant medication of recurrent moderate-severe cases on an episodic basis</t>
        </is>
      </c>
      <c r="E24" s="8" t="inlineStr">
        <is>
          <t>Traitement psychosocial intensif et antidépresseur, épisodes récurrents modérés-sévères (base épisodique)</t>
        </is>
      </c>
      <c r="F24" s="7" t="inlineStr">
        <is>
          <t>Depressive disorders</t>
        </is>
      </c>
      <c r="G24" s="7" t="inlineStr">
        <is>
          <t>People with depression</t>
        </is>
      </c>
      <c r="H24" s="7" t="n">
        <v>148053</v>
      </c>
      <c r="I24" s="7" t="inlineStr">
        <is>
          <t>Available - Tufts (Ratios)</t>
        </is>
      </c>
      <c r="J24" s="7" t="inlineStr">
        <is>
          <t>Available - Senegal ($2023)</t>
        </is>
      </c>
      <c r="K24" s="7" t="inlineStr">
        <is>
          <t>Available</t>
        </is>
      </c>
      <c r="L24" s="7" t="inlineStr">
        <is>
          <t>Yes</t>
        </is>
      </c>
      <c r="M24" s="9" t="inlineStr"/>
      <c r="N24" s="9" t="inlineStr"/>
      <c r="O24" s="9" t="inlineStr"/>
    </row>
    <row r="25">
      <c r="A25" s="7" t="n">
        <v>12</v>
      </c>
      <c r="B25" s="7" t="inlineStr">
        <is>
          <t>Child health</t>
        </is>
      </c>
      <c r="C25" s="7" t="inlineStr">
        <is>
          <t>Pneumonia</t>
        </is>
      </c>
      <c r="D25" s="8" t="inlineStr">
        <is>
          <t>Treatment of severe pneumonia</t>
        </is>
      </c>
      <c r="E25" s="8" t="inlineStr">
        <is>
          <t>Traitement de la pneumonie sévère</t>
        </is>
      </c>
      <c r="F25" s="7" t="inlineStr">
        <is>
          <t>Lower respiratory infections</t>
        </is>
      </c>
      <c r="G25" s="7" t="inlineStr">
        <is>
          <t>Children 1-59 months</t>
        </is>
      </c>
      <c r="H25" s="7" t="n">
        <v>86039</v>
      </c>
      <c r="I25" s="7" t="inlineStr">
        <is>
          <t>Available - Tufts (Ratios)</t>
        </is>
      </c>
      <c r="J25" s="7" t="inlineStr">
        <is>
          <t>Available - Senegal ($2023)</t>
        </is>
      </c>
      <c r="K25" s="7" t="inlineStr">
        <is>
          <t>Available</t>
        </is>
      </c>
      <c r="L25" s="7" t="inlineStr">
        <is>
          <t>Yes</t>
        </is>
      </c>
      <c r="M25" s="9" t="inlineStr"/>
      <c r="N25" s="9" t="inlineStr"/>
      <c r="O25" s="9" t="inlineStr"/>
    </row>
    <row r="26">
      <c r="A26" s="7" t="n">
        <v>106</v>
      </c>
      <c r="B26" s="7" t="inlineStr">
        <is>
          <t>Maternal/newborn and reproductive health</t>
        </is>
      </c>
      <c r="C26" s="7" t="inlineStr">
        <is>
          <t>Postpartum care - Other</t>
        </is>
      </c>
      <c r="D26" s="8" t="inlineStr">
        <is>
          <t>Treatment of postpartum hemorrhage</t>
        </is>
      </c>
      <c r="E26" s="8" t="inlineStr">
        <is>
          <t>Traitement de l'hémorragie du post-partum</t>
        </is>
      </c>
      <c r="F26" s="7" t="inlineStr">
        <is>
          <t>Maternal disorders</t>
        </is>
      </c>
      <c r="G26" s="7" t="inlineStr">
        <is>
          <t>Pregnancies carried to term</t>
        </is>
      </c>
      <c r="H26" s="7" t="n">
        <v>52552</v>
      </c>
      <c r="I26" s="7" t="inlineStr">
        <is>
          <t>Missing</t>
        </is>
      </c>
      <c r="J26" s="7" t="inlineStr">
        <is>
          <t>Available - Senegal ($2023)</t>
        </is>
      </c>
      <c r="K26" s="7" t="inlineStr">
        <is>
          <t>Available</t>
        </is>
      </c>
      <c r="L26" s="7" t="inlineStr">
        <is>
          <t>No</t>
        </is>
      </c>
      <c r="M26" s="9" t="inlineStr"/>
      <c r="N26" s="9" t="inlineStr"/>
      <c r="O26" s="9" t="inlineStr"/>
    </row>
    <row r="27">
      <c r="A27" s="7" t="n">
        <v>355</v>
      </c>
      <c r="B27" s="7" t="inlineStr">
        <is>
          <t>TB</t>
        </is>
      </c>
      <c r="C27" s="7" t="inlineStr">
        <is>
          <t>Second-line TB treatment</t>
        </is>
      </c>
      <c r="D27" s="8" t="inlineStr">
        <is>
          <t>MDR-TB treatment</t>
        </is>
      </c>
      <c r="E27" s="8" t="inlineStr">
        <is>
          <t>Traitement de la TB multirésistante (MDR-TB)</t>
        </is>
      </c>
      <c r="F27" s="7" t="inlineStr">
        <is>
          <t>Tuberculosis</t>
        </is>
      </c>
      <c r="G27" s="7" t="inlineStr">
        <is>
          <t>Non-XDR cases</t>
        </is>
      </c>
      <c r="H27" s="7" t="n">
        <v>154</v>
      </c>
      <c r="I27" s="7" t="inlineStr">
        <is>
          <t>Available - Tufts (Ratios)</t>
        </is>
      </c>
      <c r="J27" s="7" t="inlineStr">
        <is>
          <t>Available - Senegal ($2023)</t>
        </is>
      </c>
      <c r="K27" s="7" t="inlineStr">
        <is>
          <t>Available</t>
        </is>
      </c>
      <c r="L27" s="7" t="inlineStr">
        <is>
          <t>Yes</t>
        </is>
      </c>
      <c r="M27" s="9" t="inlineStr"/>
      <c r="N27" s="9" t="inlineStr"/>
      <c r="O27" s="9" t="inlineStr"/>
    </row>
    <row r="28">
      <c r="A28" s="7" t="n">
        <v>306</v>
      </c>
      <c r="B28" s="7" t="inlineStr">
        <is>
          <t>Nutrition</t>
        </is>
      </c>
      <c r="C28" s="7" t="inlineStr">
        <is>
          <t>Children</t>
        </is>
      </c>
      <c r="D28" s="8" t="inlineStr">
        <is>
          <t>Home fortification of food with multiple micronutrient powders (children 6-23 months)</t>
        </is>
      </c>
      <c r="E28" s="8" t="inlineStr">
        <is>
          <t>Fortification à domicile par poudres de micronutriments multiples (enfants 6-23 mois)</t>
        </is>
      </c>
      <c r="F28" s="7" t="inlineStr">
        <is>
          <t>Dietary iron deficiency</t>
        </is>
      </c>
      <c r="G28" s="7" t="inlineStr">
        <is>
          <t>Children 6-23 months</t>
        </is>
      </c>
      <c r="H28" s="7" t="n">
        <v>255266</v>
      </c>
      <c r="I28" s="7" t="inlineStr">
        <is>
          <t>Available - Tufts (Ratios)</t>
        </is>
      </c>
      <c r="J28" s="7" t="inlineStr">
        <is>
          <t>Available - Senegal ($2023)</t>
        </is>
      </c>
      <c r="K28" s="7" t="inlineStr">
        <is>
          <t>Available</t>
        </is>
      </c>
      <c r="L28" s="7" t="inlineStr">
        <is>
          <t>Yes</t>
        </is>
      </c>
      <c r="M28" s="9" t="inlineStr"/>
      <c r="N28" s="9" t="inlineStr"/>
      <c r="O28" s="9" t="inlineStr"/>
    </row>
    <row r="29">
      <c r="A29" s="7" t="n">
        <v>142</v>
      </c>
      <c r="B29" s="7" t="inlineStr">
        <is>
          <t>Mental, neurological, and substance use disorders</t>
        </is>
      </c>
      <c r="C29" s="7" t="inlineStr">
        <is>
          <t>Depression</t>
        </is>
      </c>
      <c r="D29" s="8" t="inlineStr">
        <is>
          <t>Basic psychosocial treatment and anti-depressant medication of first episode moderate-severe cases</t>
        </is>
      </c>
      <c r="E29" s="8" t="inlineStr">
        <is>
          <t>Traitement psychosocial de base et antidépresseur, premier épisode modéré-sévère</t>
        </is>
      </c>
      <c r="F29" s="7" t="inlineStr">
        <is>
          <t>Depressive disorders</t>
        </is>
      </c>
      <c r="G29" s="7" t="inlineStr">
        <is>
          <t>People with depression</t>
        </is>
      </c>
      <c r="H29" s="7" t="n">
        <v>63451</v>
      </c>
      <c r="I29" s="7" t="inlineStr">
        <is>
          <t>Available - Tufts (Ratios)</t>
        </is>
      </c>
      <c r="J29" s="7" t="inlineStr">
        <is>
          <t>Available - Senegal ($2023)</t>
        </is>
      </c>
      <c r="K29" s="7" t="inlineStr">
        <is>
          <t>Available</t>
        </is>
      </c>
      <c r="L29" s="7" t="inlineStr">
        <is>
          <t>Yes</t>
        </is>
      </c>
      <c r="M29" s="9" t="inlineStr"/>
      <c r="N29" s="9" t="inlineStr"/>
      <c r="O29" s="9" t="inlineStr"/>
    </row>
    <row r="30">
      <c r="A30" s="7" t="n">
        <v>143</v>
      </c>
      <c r="B30" s="7" t="inlineStr">
        <is>
          <t>Mental, neurological, and substance use disorders</t>
        </is>
      </c>
      <c r="C30" s="7" t="inlineStr">
        <is>
          <t>Depression</t>
        </is>
      </c>
      <c r="D30" s="8" t="inlineStr">
        <is>
          <t>Intensive psychosocial treatment and anti-depressant medication of first episode moderate-severe cases</t>
        </is>
      </c>
      <c r="E30" s="8" t="inlineStr">
        <is>
          <t>Traitement psychosocial intensif et antidépresseur, premier épisode modéré-sévère</t>
        </is>
      </c>
      <c r="F30" s="7" t="inlineStr">
        <is>
          <t>Depressive disorders</t>
        </is>
      </c>
      <c r="G30" s="7" t="inlineStr">
        <is>
          <t>People with depression</t>
        </is>
      </c>
      <c r="H30" s="7" t="n">
        <v>63451</v>
      </c>
      <c r="I30" s="7" t="inlineStr">
        <is>
          <t>Available - Tufts (Ratios)</t>
        </is>
      </c>
      <c r="J30" s="7" t="inlineStr">
        <is>
          <t>Available - Senegal ($2023)</t>
        </is>
      </c>
      <c r="K30" s="7" t="inlineStr">
        <is>
          <t>Available</t>
        </is>
      </c>
      <c r="L30" s="7" t="inlineStr">
        <is>
          <t>Yes</t>
        </is>
      </c>
      <c r="M30" s="9" t="inlineStr"/>
      <c r="N30" s="9" t="inlineStr"/>
      <c r="O30" s="9" t="inlineStr"/>
    </row>
    <row r="31">
      <c r="A31" s="7" t="n">
        <v>17</v>
      </c>
      <c r="B31" s="7" t="inlineStr">
        <is>
          <t>HIV/AIDS</t>
        </is>
      </c>
      <c r="C31" s="7" t="inlineStr">
        <is>
          <t>Care and treatment</t>
        </is>
      </c>
      <c r="D31" s="8" t="inlineStr">
        <is>
          <t>Pediatric ART</t>
        </is>
      </c>
      <c r="E31" s="8" t="inlineStr">
        <is>
          <t>TAR pédiatrique (traitement antirétroviral)</t>
        </is>
      </c>
      <c r="F31" s="7" t="inlineStr">
        <is>
          <t>HIV/AIDS</t>
        </is>
      </c>
      <c r="G31" s="7" t="inlineStr">
        <is>
          <t>Number of children needing ART</t>
        </is>
      </c>
      <c r="H31" s="7" t="n">
        <v>2330</v>
      </c>
      <c r="I31" s="7" t="inlineStr">
        <is>
          <t>Missing</t>
        </is>
      </c>
      <c r="J31" s="7" t="inlineStr">
        <is>
          <t>Available - Senegal ($2023)</t>
        </is>
      </c>
      <c r="K31" s="7" t="inlineStr">
        <is>
          <t>Available</t>
        </is>
      </c>
      <c r="L31" s="7" t="inlineStr">
        <is>
          <t>No</t>
        </is>
      </c>
      <c r="M31" s="9" t="inlineStr"/>
      <c r="N31" s="9" t="inlineStr"/>
      <c r="O31" s="9" t="inlineStr"/>
    </row>
    <row r="32">
      <c r="A32" s="7" t="n">
        <v>335</v>
      </c>
      <c r="B32" s="7" t="inlineStr">
        <is>
          <t>TB</t>
        </is>
      </c>
      <c r="C32" s="7" t="inlineStr">
        <is>
          <t>TB diagnosis with Xpert (molecular)</t>
        </is>
      </c>
      <c r="D32" s="8" t="inlineStr">
        <is>
          <t>Initial diagnosis with Xpert: Extra pulmonary</t>
        </is>
      </c>
      <c r="E32" s="8" t="inlineStr">
        <is>
          <t>Diagnostic initial par Xpert : forme extra-pulmonaire</t>
        </is>
      </c>
      <c r="F32" s="7" t="inlineStr">
        <is>
          <t>Tuberculosis</t>
        </is>
      </c>
      <c r="G32" s="7" t="inlineStr">
        <is>
          <t>Number of new extrapulmonary TB cases</t>
        </is>
      </c>
      <c r="H32" s="7" t="n">
        <v>18637</v>
      </c>
      <c r="I32" s="7" t="inlineStr">
        <is>
          <t>Available - Tufts (Ratios)</t>
        </is>
      </c>
      <c r="J32" s="7" t="inlineStr">
        <is>
          <t>Available - Senegal ($2023)</t>
        </is>
      </c>
      <c r="K32" s="7" t="inlineStr">
        <is>
          <t>Available</t>
        </is>
      </c>
      <c r="L32" s="7" t="inlineStr">
        <is>
          <t>Yes</t>
        </is>
      </c>
      <c r="M32" s="9" t="inlineStr"/>
      <c r="N32" s="9" t="inlineStr"/>
      <c r="O32" s="9" t="inlineStr"/>
    </row>
    <row r="33">
      <c r="A33" s="7" t="n">
        <v>338</v>
      </c>
      <c r="B33" s="7" t="inlineStr">
        <is>
          <t>TB</t>
        </is>
      </c>
      <c r="C33" s="7" t="inlineStr">
        <is>
          <t>TB diagnosis: LPA (molecular)</t>
        </is>
      </c>
      <c r="D33" s="8" t="inlineStr">
        <is>
          <t>Resistance testing LPA: For first-line drugs, new smear positive sputum</t>
        </is>
      </c>
      <c r="E33" s="8" t="inlineStr">
        <is>
          <t>Test de résistance par LPA (test génotypique sur bandelette) : médicaments de 1re ligne, crachat à frottis positif nouveau cas</t>
        </is>
      </c>
      <c r="F33" s="7" t="inlineStr">
        <is>
          <t>Tuberculosis</t>
        </is>
      </c>
      <c r="G33" s="7" t="inlineStr">
        <is>
          <t>Number of new pulmonary, bacteriologically confirmed TB cases</t>
        </is>
      </c>
      <c r="H33" s="7" t="n">
        <v>9919</v>
      </c>
      <c r="I33" s="7" t="inlineStr">
        <is>
          <t>Available - Tufts (Ratios)</t>
        </is>
      </c>
      <c r="J33" s="7" t="inlineStr">
        <is>
          <t>Available - Senegal ($2023)</t>
        </is>
      </c>
      <c r="K33" s="7" t="inlineStr">
        <is>
          <t>Available</t>
        </is>
      </c>
      <c r="L33" s="7" t="inlineStr">
        <is>
          <t>Yes</t>
        </is>
      </c>
      <c r="M33" s="9" t="inlineStr"/>
      <c r="N33" s="9" t="inlineStr"/>
      <c r="O33" s="9" t="inlineStr"/>
    </row>
    <row r="34">
      <c r="A34" s="7" t="n">
        <v>339</v>
      </c>
      <c r="B34" s="7" t="inlineStr">
        <is>
          <t>TB</t>
        </is>
      </c>
      <c r="C34" s="7" t="inlineStr">
        <is>
          <t>TB diagnosis: LPA (molecular)</t>
        </is>
      </c>
      <c r="D34" s="8" t="inlineStr">
        <is>
          <t>Resistance testing LPA: For first-line drugs, culture positive</t>
        </is>
      </c>
      <c r="E34" s="8" t="inlineStr">
        <is>
          <t>Test de résistance par LPA (test génotypique sur bandelette) : médicaments de 1re ligne, culture positive</t>
        </is>
      </c>
      <c r="F34" s="7" t="inlineStr">
        <is>
          <t>Tuberculosis</t>
        </is>
      </c>
      <c r="G34" s="7" t="inlineStr">
        <is>
          <t>Number of new pulmonary, bacteriologically confirmed TB cases</t>
        </is>
      </c>
      <c r="H34" s="7" t="n">
        <v>9919</v>
      </c>
      <c r="I34" s="7" t="inlineStr">
        <is>
          <t>Available - Tufts (Ratios)</t>
        </is>
      </c>
      <c r="J34" s="7" t="inlineStr">
        <is>
          <t>Available - Senegal ($2023)</t>
        </is>
      </c>
      <c r="K34" s="7" t="inlineStr">
        <is>
          <t>Available</t>
        </is>
      </c>
      <c r="L34" s="7" t="inlineStr">
        <is>
          <t>Yes</t>
        </is>
      </c>
      <c r="M34" s="9" t="inlineStr"/>
      <c r="N34" s="9" t="inlineStr"/>
      <c r="O34" s="9" t="inlineStr"/>
    </row>
    <row r="35">
      <c r="A35" s="7" t="n">
        <v>342</v>
      </c>
      <c r="B35" s="7" t="inlineStr">
        <is>
          <t>TB</t>
        </is>
      </c>
      <c r="C35" s="7" t="inlineStr">
        <is>
          <t>TB screening with X-rays</t>
        </is>
      </c>
      <c r="D35" s="8" t="inlineStr">
        <is>
          <t>Screening with X-rays: Passive TB case finding, HIV-negative adults</t>
        </is>
      </c>
      <c r="E35" s="8" t="inlineStr">
        <is>
          <t>Dépistage par radiographie : dépistage passif, adultes VIH-négatifs</t>
        </is>
      </c>
      <c r="F35" s="7" t="inlineStr">
        <is>
          <t>Tuberculosis</t>
        </is>
      </c>
      <c r="G35" s="7" t="inlineStr">
        <is>
          <t>Number of new pulmonary TB cases</t>
        </is>
      </c>
      <c r="H35" s="7" t="n">
        <v>108850</v>
      </c>
      <c r="I35" s="7" t="inlineStr">
        <is>
          <t>Available - Tufts (Ratios)</t>
        </is>
      </c>
      <c r="J35" s="7" t="inlineStr">
        <is>
          <t>Available - Senegal ($2023)</t>
        </is>
      </c>
      <c r="K35" s="7" t="inlineStr">
        <is>
          <t>Available</t>
        </is>
      </c>
      <c r="L35" s="7" t="inlineStr">
        <is>
          <t>Yes</t>
        </is>
      </c>
      <c r="M35" s="9" t="inlineStr"/>
      <c r="N35" s="9" t="inlineStr"/>
      <c r="O35" s="9" t="inlineStr"/>
    </row>
    <row r="36">
      <c r="A36" s="7" t="n">
        <v>345</v>
      </c>
      <c r="B36" s="7" t="inlineStr">
        <is>
          <t>TB</t>
        </is>
      </c>
      <c r="C36" s="7" t="inlineStr">
        <is>
          <t>TB screening with X-rays</t>
        </is>
      </c>
      <c r="D36" s="8" t="inlineStr">
        <is>
          <t>Screening with X-rays: Active TB case finding, children</t>
        </is>
      </c>
      <c r="E36" s="8" t="inlineStr">
        <is>
          <t>Dépistage par radiographie : dépistage actif, enfants</t>
        </is>
      </c>
      <c r="F36" s="7" t="inlineStr">
        <is>
          <t>Tuberculosis</t>
        </is>
      </c>
      <c r="G36" s="7" t="inlineStr">
        <is>
          <t>Number of new pulmonary TB cases</t>
        </is>
      </c>
      <c r="H36" s="7" t="n">
        <v>108850</v>
      </c>
      <c r="I36" s="7" t="inlineStr">
        <is>
          <t>Available - Tufts (Ratios)</t>
        </is>
      </c>
      <c r="J36" s="7" t="inlineStr">
        <is>
          <t>Available - OHT Senegal ($2023)</t>
        </is>
      </c>
      <c r="K36" s="7" t="inlineStr">
        <is>
          <t>Available</t>
        </is>
      </c>
      <c r="L36" s="7" t="inlineStr">
        <is>
          <t>Yes</t>
        </is>
      </c>
      <c r="M36" s="9" t="inlineStr"/>
      <c r="N36" s="9" t="inlineStr"/>
      <c r="O36" s="9" t="inlineStr"/>
    </row>
    <row r="37">
      <c r="A37" s="7" t="n">
        <v>346</v>
      </c>
      <c r="B37" s="7" t="inlineStr">
        <is>
          <t>TB</t>
        </is>
      </c>
      <c r="C37" s="7" t="inlineStr">
        <is>
          <t>TB screening with X-rays</t>
        </is>
      </c>
      <c r="D37" s="8" t="inlineStr">
        <is>
          <t>Screening with X-rays: Active TB case finding, adults</t>
        </is>
      </c>
      <c r="E37" s="8" t="inlineStr">
        <is>
          <t>Dépistage par radiographie : dépistage actif, adultes</t>
        </is>
      </c>
      <c r="F37" s="7" t="inlineStr">
        <is>
          <t>Tuberculosis</t>
        </is>
      </c>
      <c r="G37" s="7" t="inlineStr">
        <is>
          <t>Number of new pulmonary TB cases</t>
        </is>
      </c>
      <c r="H37" s="7" t="n">
        <v>108850</v>
      </c>
      <c r="I37" s="7" t="inlineStr">
        <is>
          <t>Available - Tufts (Ratios)</t>
        </is>
      </c>
      <c r="J37" s="7" t="inlineStr">
        <is>
          <t>Available - OHT Senegal ($2023)</t>
        </is>
      </c>
      <c r="K37" s="7" t="inlineStr">
        <is>
          <t>Available</t>
        </is>
      </c>
      <c r="L37" s="7" t="inlineStr">
        <is>
          <t>Yes</t>
        </is>
      </c>
      <c r="M37" s="9" t="inlineStr"/>
      <c r="N37" s="9" t="inlineStr"/>
      <c r="O37" s="9" t="inlineStr"/>
    </row>
    <row r="38">
      <c r="A38" s="7" t="n">
        <v>308</v>
      </c>
      <c r="B38" s="7" t="inlineStr">
        <is>
          <t>Nutrition</t>
        </is>
      </c>
      <c r="C38" s="7" t="inlineStr">
        <is>
          <t>Children</t>
        </is>
      </c>
      <c r="D38" s="8" t="inlineStr">
        <is>
          <t>Daily iron supplementation for children 6 to 23 months (where anaemia is &gt;= 40%)</t>
        </is>
      </c>
      <c r="E38" s="8" t="inlineStr">
        <is>
          <t>Supplémentation quotidienne en fer, enfants 6-23 mois (zones à anémie ≥ 40 %)</t>
        </is>
      </c>
      <c r="F38" s="7" t="inlineStr">
        <is>
          <t>Dietary iron deficiency</t>
        </is>
      </c>
      <c r="G38" s="7" t="inlineStr">
        <is>
          <t>Children 6-23 months</t>
        </is>
      </c>
      <c r="H38" s="7" t="n">
        <v>761989</v>
      </c>
      <c r="I38" s="7" t="inlineStr">
        <is>
          <t>Available - Tufts (Ratios)</t>
        </is>
      </c>
      <c r="J38" s="7" t="inlineStr">
        <is>
          <t>Available - OHT Senegal ($2023)</t>
        </is>
      </c>
      <c r="K38" s="7" t="inlineStr">
        <is>
          <t>Available</t>
        </is>
      </c>
      <c r="L38" s="7" t="inlineStr">
        <is>
          <t>Yes</t>
        </is>
      </c>
      <c r="M38" s="9" t="inlineStr"/>
      <c r="N38" s="9" t="inlineStr"/>
      <c r="O38" s="9" t="inlineStr"/>
    </row>
    <row r="39">
      <c r="A39" s="7" t="n">
        <v>73</v>
      </c>
      <c r="B39" s="7" t="inlineStr">
        <is>
          <t>Maternal/newborn and reproductive health</t>
        </is>
      </c>
      <c r="C39" s="7" t="inlineStr">
        <is>
          <t>Management of ectopic pregnancy care</t>
        </is>
      </c>
      <c r="D39" s="8" t="inlineStr">
        <is>
          <t>Ectopic case management</t>
        </is>
      </c>
      <c r="E39" s="8" t="inlineStr">
        <is>
          <t>Prise en charge de la grossesse extra-utérine</t>
        </is>
      </c>
      <c r="F39" s="7" t="inlineStr">
        <is>
          <t>Maternal disorders</t>
        </is>
      </c>
      <c r="G39" s="7" t="inlineStr">
        <is>
          <t>Pregnant women</t>
        </is>
      </c>
      <c r="H39" s="7" t="n">
        <v>6864</v>
      </c>
      <c r="I39" s="7" t="inlineStr">
        <is>
          <t>Available - Uganda fallback</t>
        </is>
      </c>
      <c r="J39" s="7" t="inlineStr">
        <is>
          <t>Available - OHT Senegal ($2023)</t>
        </is>
      </c>
      <c r="K39" s="7" t="inlineStr">
        <is>
          <t>Available</t>
        </is>
      </c>
      <c r="L39" s="7" t="inlineStr">
        <is>
          <t>Yes</t>
        </is>
      </c>
      <c r="M39" s="9" t="inlineStr"/>
      <c r="N39" s="9" t="inlineStr"/>
      <c r="O39" s="9" t="inlineStr"/>
    </row>
    <row r="40">
      <c r="A40" s="7" t="n">
        <v>321</v>
      </c>
      <c r="B40" s="7" t="inlineStr">
        <is>
          <t>TB</t>
        </is>
      </c>
      <c r="C40" s="7" t="inlineStr">
        <is>
          <t>TB diagnosis with culture</t>
        </is>
      </c>
      <c r="D40" s="8" t="inlineStr">
        <is>
          <t>Diagnosis with culture: Passive TB case finding, HIV-negative adults</t>
        </is>
      </c>
      <c r="E40" s="8" t="inlineStr">
        <is>
          <t>Diagnostic par culture : dépistage passif, adultes VIH-négatifs</t>
        </is>
      </c>
      <c r="F40" s="7" t="inlineStr">
        <is>
          <t>Tuberculosis</t>
        </is>
      </c>
      <c r="G40" s="7" t="inlineStr">
        <is>
          <t>Number of new pulmonary, bacteriologically confirmed TB cases</t>
        </is>
      </c>
      <c r="H40" s="7" t="n">
        <v>99186</v>
      </c>
      <c r="I40" s="7" t="inlineStr">
        <is>
          <t>Available - Tufts (Ratios)</t>
        </is>
      </c>
      <c r="J40" s="7" t="inlineStr">
        <is>
          <t>Available - OHT Senegal ($2023)</t>
        </is>
      </c>
      <c r="K40" s="7" t="inlineStr">
        <is>
          <t>Available</t>
        </is>
      </c>
      <c r="L40" s="7" t="inlineStr">
        <is>
          <t>Yes</t>
        </is>
      </c>
      <c r="M40" s="9" t="inlineStr"/>
      <c r="N40" s="9" t="inlineStr"/>
      <c r="O40" s="9" t="inlineStr"/>
    </row>
    <row r="41">
      <c r="A41" s="7" t="n">
        <v>322</v>
      </c>
      <c r="B41" s="7" t="inlineStr">
        <is>
          <t>TB</t>
        </is>
      </c>
      <c r="C41" s="7" t="inlineStr">
        <is>
          <t>TB diagnosis with culture</t>
        </is>
      </c>
      <c r="D41" s="8" t="inlineStr">
        <is>
          <t>Diagnosis with culture: Active TB case finding, children</t>
        </is>
      </c>
      <c r="E41" s="8" t="inlineStr">
        <is>
          <t>Diagnostic par culture : dépistage actif, enfants</t>
        </is>
      </c>
      <c r="F41" s="7" t="inlineStr">
        <is>
          <t>Tuberculosis</t>
        </is>
      </c>
      <c r="G41" s="7" t="inlineStr">
        <is>
          <t>Number of new pulmonary, bacteriologically confirmed TB cases</t>
        </is>
      </c>
      <c r="H41" s="7" t="n">
        <v>99186</v>
      </c>
      <c r="I41" s="7" t="inlineStr">
        <is>
          <t>Missing</t>
        </is>
      </c>
      <c r="J41" s="7" t="inlineStr">
        <is>
          <t>Available - OHT Senegal ($2023)</t>
        </is>
      </c>
      <c r="K41" s="7" t="inlineStr">
        <is>
          <t>Available</t>
        </is>
      </c>
      <c r="L41" s="7" t="inlineStr">
        <is>
          <t>No</t>
        </is>
      </c>
      <c r="M41" s="9" t="inlineStr"/>
      <c r="N41" s="9" t="inlineStr"/>
      <c r="O41" s="9" t="inlineStr"/>
    </row>
    <row r="42">
      <c r="A42" s="7" t="n">
        <v>323</v>
      </c>
      <c r="B42" s="7" t="inlineStr">
        <is>
          <t>TB</t>
        </is>
      </c>
      <c r="C42" s="7" t="inlineStr">
        <is>
          <t>TB diagnosis with culture</t>
        </is>
      </c>
      <c r="D42" s="8" t="inlineStr">
        <is>
          <t>Diagnosis with culture: Active TB case finding, adults</t>
        </is>
      </c>
      <c r="E42" s="8" t="inlineStr">
        <is>
          <t>Diagnostic par culture : dépistage actif, adultes</t>
        </is>
      </c>
      <c r="F42" s="7" t="inlineStr">
        <is>
          <t>Tuberculosis</t>
        </is>
      </c>
      <c r="G42" s="7" t="inlineStr">
        <is>
          <t>Number of new pulmonary, bacteriologically confirmed TB cases</t>
        </is>
      </c>
      <c r="H42" s="7" t="n">
        <v>99186</v>
      </c>
      <c r="I42" s="7" t="inlineStr">
        <is>
          <t>Available - Tufts (Ratios)</t>
        </is>
      </c>
      <c r="J42" s="7" t="inlineStr">
        <is>
          <t>Available - OHT Senegal ($2023)</t>
        </is>
      </c>
      <c r="K42" s="7" t="inlineStr">
        <is>
          <t>Available</t>
        </is>
      </c>
      <c r="L42" s="7" t="inlineStr">
        <is>
          <t>Yes</t>
        </is>
      </c>
      <c r="M42" s="9" t="inlineStr"/>
      <c r="N42" s="9" t="inlineStr"/>
      <c r="O42" s="9" t="inlineStr"/>
    </row>
    <row r="43">
      <c r="A43" s="7" t="n">
        <v>336</v>
      </c>
      <c r="B43" s="7" t="inlineStr">
        <is>
          <t>TB</t>
        </is>
      </c>
      <c r="C43" s="7" t="inlineStr">
        <is>
          <t>TB diagnosis with Xpert (molecular)</t>
        </is>
      </c>
      <c r="D43" s="8" t="inlineStr">
        <is>
          <t>RR-Diagnosis Xpert: Resistance testing for new smear positive cases</t>
        </is>
      </c>
      <c r="E43" s="8" t="inlineStr">
        <is>
          <t>Diagnostic RR par Xpert : test de résistance, nouveaux cas à frottis positif</t>
        </is>
      </c>
      <c r="F43" s="7" t="inlineStr">
        <is>
          <t>Tuberculosis</t>
        </is>
      </c>
      <c r="G43" s="7" t="inlineStr">
        <is>
          <t>Number of new pulmonary, bacteriologically confirmed TB cases</t>
        </is>
      </c>
      <c r="H43" s="7" t="n">
        <v>9919</v>
      </c>
      <c r="I43" s="7" t="inlineStr">
        <is>
          <t>Available - Tufts (Ratios)</t>
        </is>
      </c>
      <c r="J43" s="7" t="inlineStr">
        <is>
          <t>Available - OHT Senegal ($2023)</t>
        </is>
      </c>
      <c r="K43" s="7" t="inlineStr">
        <is>
          <t>Available</t>
        </is>
      </c>
      <c r="L43" s="7" t="inlineStr">
        <is>
          <t>Yes</t>
        </is>
      </c>
      <c r="M43" s="9" t="inlineStr"/>
      <c r="N43" s="9" t="inlineStr"/>
      <c r="O43" s="9" t="inlineStr"/>
    </row>
    <row r="44">
      <c r="A44" s="7" t="n">
        <v>213</v>
      </c>
      <c r="B44" s="7" t="inlineStr">
        <is>
          <t>Non-communicable diseases</t>
        </is>
      </c>
      <c r="C44" s="7" t="inlineStr">
        <is>
          <t>CVD &amp; diabetes</t>
        </is>
      </c>
      <c r="D44" s="8" t="inlineStr">
        <is>
          <t>Retinopathy screening and photocoagulation</t>
        </is>
      </c>
      <c r="E44" s="8" t="inlineStr">
        <is>
          <t>Dépistage de la rétinopathie et photocoagulation</t>
        </is>
      </c>
      <c r="F44" s="7" t="inlineStr">
        <is>
          <t>Diabetes mellitus</t>
        </is>
      </c>
      <c r="G44" s="7" t="inlineStr">
        <is>
          <t>People with diabetes</t>
        </is>
      </c>
      <c r="H44" s="7" t="n">
        <v>249876</v>
      </c>
      <c r="I44" s="7" t="inlineStr">
        <is>
          <t>Available - Uganda fallback</t>
        </is>
      </c>
      <c r="J44" s="7" t="inlineStr">
        <is>
          <t>Available - OHT Senegal ($2023)</t>
        </is>
      </c>
      <c r="K44" s="7" t="inlineStr">
        <is>
          <t>Available</t>
        </is>
      </c>
      <c r="L44" s="7" t="inlineStr">
        <is>
          <t>Yes</t>
        </is>
      </c>
      <c r="M44" s="9" t="inlineStr"/>
      <c r="N44" s="9" t="inlineStr"/>
      <c r="O44" s="9" t="inlineStr"/>
    </row>
    <row r="45">
      <c r="A45" s="7" t="n">
        <v>128</v>
      </c>
      <c r="B45" s="7" t="inlineStr">
        <is>
          <t>Maternal/newborn and reproductive health</t>
        </is>
      </c>
      <c r="C45" s="7" t="inlineStr">
        <is>
          <t>Postpartum care - Other</t>
        </is>
      </c>
      <c r="D45" s="8" t="inlineStr">
        <is>
          <t>Mastitis</t>
        </is>
      </c>
      <c r="E45" s="8" t="inlineStr">
        <is>
          <t>Mastite</t>
        </is>
      </c>
      <c r="F45" s="7" t="inlineStr">
        <is>
          <t>Maternal disorders</t>
        </is>
      </c>
      <c r="G45" s="7" t="inlineStr">
        <is>
          <t>Live births</t>
        </is>
      </c>
      <c r="H45" s="7" t="n">
        <v>53162</v>
      </c>
      <c r="I45" s="7" t="inlineStr">
        <is>
          <t>Missing</t>
        </is>
      </c>
      <c r="J45" s="7" t="inlineStr">
        <is>
          <t>Available - OHT Senegal ($2023)</t>
        </is>
      </c>
      <c r="K45" s="7" t="inlineStr">
        <is>
          <t>Available</t>
        </is>
      </c>
      <c r="L45" s="7" t="inlineStr">
        <is>
          <t>No</t>
        </is>
      </c>
      <c r="M45" s="9" t="inlineStr"/>
      <c r="N45" s="9" t="inlineStr"/>
      <c r="O45" s="9" t="inlineStr"/>
    </row>
    <row r="46">
      <c r="A46" s="7" t="n">
        <v>302</v>
      </c>
      <c r="B46" s="7" t="inlineStr">
        <is>
          <t>Nutrition</t>
        </is>
      </c>
      <c r="C46" s="7" t="inlineStr">
        <is>
          <t>Pregnant and lactating women</t>
        </is>
      </c>
      <c r="D46" s="8" t="inlineStr">
        <is>
          <t>Daily FAF, postpartum, anemic women</t>
        </is>
      </c>
      <c r="E46" s="8" t="inlineStr">
        <is>
          <t>Fer-folates quotidien, post-partum, femmes anémiques</t>
        </is>
      </c>
      <c r="F46" s="7" t="inlineStr">
        <is>
          <t>Dietary iron deficiency</t>
        </is>
      </c>
      <c r="G46" s="7" t="inlineStr">
        <is>
          <t>Live births</t>
        </is>
      </c>
      <c r="H46" s="7" t="n">
        <v>303553</v>
      </c>
      <c r="I46" s="7" t="inlineStr">
        <is>
          <t>Missing</t>
        </is>
      </c>
      <c r="J46" s="7" t="inlineStr">
        <is>
          <t>Available - OHT Senegal ($2023)</t>
        </is>
      </c>
      <c r="K46" s="7" t="inlineStr">
        <is>
          <t>Available</t>
        </is>
      </c>
      <c r="L46" s="7" t="inlineStr">
        <is>
          <t>No</t>
        </is>
      </c>
      <c r="M46" s="9" t="inlineStr"/>
      <c r="N46" s="9" t="inlineStr"/>
      <c r="O46" s="9" t="inlineStr"/>
    </row>
    <row r="47">
      <c r="A47" s="7" t="n">
        <v>331</v>
      </c>
      <c r="B47" s="7" t="inlineStr">
        <is>
          <t>TB</t>
        </is>
      </c>
      <c r="C47" s="7" t="inlineStr">
        <is>
          <t>TB diagnosis with Xpert (molecular)</t>
        </is>
      </c>
      <c r="D47" s="8" t="inlineStr">
        <is>
          <t>Initial diagnosis with Xpert: Passive TB case finding, child cases</t>
        </is>
      </c>
      <c r="E47" s="8" t="inlineStr">
        <is>
          <t>Diagnostic initial par Xpert : dépistage passif, cas pédiatriques</t>
        </is>
      </c>
      <c r="F47" s="7" t="inlineStr">
        <is>
          <t>Tuberculosis</t>
        </is>
      </c>
      <c r="G47" s="7" t="inlineStr">
        <is>
          <t>Number of new and relapse TB cases under 15 years</t>
        </is>
      </c>
      <c r="H47" s="7" t="n">
        <v>5922</v>
      </c>
      <c r="I47" s="7" t="inlineStr">
        <is>
          <t>Available - Tufts (Ratios)</t>
        </is>
      </c>
      <c r="J47" s="7" t="inlineStr">
        <is>
          <t>Available - OHT Senegal ($2023)</t>
        </is>
      </c>
      <c r="K47" s="7" t="inlineStr">
        <is>
          <t>Available</t>
        </is>
      </c>
      <c r="L47" s="7" t="inlineStr">
        <is>
          <t>Yes</t>
        </is>
      </c>
      <c r="M47" s="9" t="inlineStr"/>
      <c r="N47" s="9" t="inlineStr"/>
      <c r="O47" s="9" t="inlineStr"/>
    </row>
    <row r="48">
      <c r="A48" s="7" t="n">
        <v>313</v>
      </c>
      <c r="B48" s="7" t="inlineStr">
        <is>
          <t>TB</t>
        </is>
      </c>
      <c r="C48" s="7" t="inlineStr">
        <is>
          <t>TB diagnosis with microscopy</t>
        </is>
      </c>
      <c r="D48" s="8" t="inlineStr">
        <is>
          <t>Diagnosis with microscopy: Passive TB case finding, HIV-negative adults</t>
        </is>
      </c>
      <c r="E48" s="8" t="inlineStr">
        <is>
          <t>Diagnostic par microscopie : dépistage passif, adultes VIH-négatifs</t>
        </is>
      </c>
      <c r="F48" s="7" t="inlineStr">
        <is>
          <t>Tuberculosis</t>
        </is>
      </c>
      <c r="G48" s="7" t="inlineStr">
        <is>
          <t>Number of new pulmonary, bacteriologically confirmed TB cases (adults)</t>
        </is>
      </c>
      <c r="H48" s="7" t="n">
        <v>189828</v>
      </c>
      <c r="I48" s="7" t="inlineStr">
        <is>
          <t>Available - Tufts (Ratios)</t>
        </is>
      </c>
      <c r="J48" s="7" t="inlineStr">
        <is>
          <t>Available - OHT Senegal ($2023)</t>
        </is>
      </c>
      <c r="K48" s="7" t="inlineStr">
        <is>
          <t>Available</t>
        </is>
      </c>
      <c r="L48" s="7" t="inlineStr">
        <is>
          <t>Yes</t>
        </is>
      </c>
      <c r="M48" s="9" t="inlineStr"/>
      <c r="N48" s="9" t="inlineStr"/>
      <c r="O48" s="9" t="inlineStr"/>
    </row>
    <row r="49">
      <c r="A49" s="7" t="n">
        <v>348</v>
      </c>
      <c r="B49" s="7" t="inlineStr">
        <is>
          <t>TB</t>
        </is>
      </c>
      <c r="C49" s="7" t="inlineStr">
        <is>
          <t>TB screening with X-rays</t>
        </is>
      </c>
      <c r="D49" s="8" t="inlineStr">
        <is>
          <t>Monitoring X-rays: Test to monitor treatment for new pulmonary cases</t>
        </is>
      </c>
      <c r="E49" s="8" t="inlineStr">
        <is>
          <t>Suivi par radiographie : suivi du traitement, nouveaux cas pulmonaires</t>
        </is>
      </c>
      <c r="F49" s="7" t="inlineStr">
        <is>
          <t>Tuberculosis</t>
        </is>
      </c>
      <c r="G49" s="7" t="inlineStr">
        <is>
          <t>Number of new pulmonary TB cases</t>
        </is>
      </c>
      <c r="H49" s="7" t="n">
        <v>32655</v>
      </c>
      <c r="I49" s="7" t="inlineStr">
        <is>
          <t>Available - Tufts (Ratios)</t>
        </is>
      </c>
      <c r="J49" s="7" t="inlineStr">
        <is>
          <t>Available - OHT Senegal ($2023)</t>
        </is>
      </c>
      <c r="K49" s="7" t="inlineStr">
        <is>
          <t>Available</t>
        </is>
      </c>
      <c r="L49" s="7" t="inlineStr">
        <is>
          <t>Yes</t>
        </is>
      </c>
      <c r="M49" s="9" t="inlineStr"/>
      <c r="N49" s="9" t="inlineStr"/>
      <c r="O49" s="9" t="inlineStr"/>
    </row>
    <row r="50">
      <c r="A50" s="7" t="n">
        <v>120</v>
      </c>
      <c r="B50" s="7" t="inlineStr">
        <is>
          <t>Maternal/newborn and reproductive health</t>
        </is>
      </c>
      <c r="C50" s="7" t="inlineStr">
        <is>
          <t>Postpartum care - Treatment of newborn sepsis</t>
        </is>
      </c>
      <c r="D50" s="8" t="inlineStr">
        <is>
          <t>Newborn sepsis - Injectable antibiotics</t>
        </is>
      </c>
      <c r="E50" s="8" t="inlineStr">
        <is>
          <t>Sepsis néonatal - antibiotiques injectables</t>
        </is>
      </c>
      <c r="F50" s="7" t="inlineStr">
        <is>
          <t>Neonatal disorders</t>
        </is>
      </c>
      <c r="G50" s="7" t="inlineStr">
        <is>
          <t>Live births</t>
        </is>
      </c>
      <c r="H50" s="7" t="n">
        <v>40403</v>
      </c>
      <c r="I50" s="7" t="inlineStr">
        <is>
          <t>Missing</t>
        </is>
      </c>
      <c r="J50" s="7" t="inlineStr">
        <is>
          <t>Available - OHT Senegal ($2023)</t>
        </is>
      </c>
      <c r="K50" s="7" t="inlineStr">
        <is>
          <t>Available</t>
        </is>
      </c>
      <c r="L50" s="7" t="inlineStr">
        <is>
          <t>No</t>
        </is>
      </c>
      <c r="M50" s="9" t="inlineStr"/>
      <c r="N50" s="9" t="inlineStr"/>
      <c r="O50" s="9" t="inlineStr"/>
    </row>
    <row r="51">
      <c r="A51" s="7" t="n">
        <v>126</v>
      </c>
      <c r="B51" s="7" t="inlineStr">
        <is>
          <t>Maternal/newborn and reproductive health</t>
        </is>
      </c>
      <c r="C51" s="7" t="inlineStr">
        <is>
          <t>Childbirth care - Facility births</t>
        </is>
      </c>
      <c r="D51" s="8" t="inlineStr">
        <is>
          <t>Treatment of local infections (Newborn)</t>
        </is>
      </c>
      <c r="E51" s="8" t="inlineStr">
        <is>
          <t>Traitement des infections locales du nouveau-né</t>
        </is>
      </c>
      <c r="F51" s="7" t="inlineStr">
        <is>
          <t>Neonatal disorders</t>
        </is>
      </c>
      <c r="G51" s="7" t="inlineStr">
        <is>
          <t>Live births</t>
        </is>
      </c>
      <c r="H51" s="7" t="n">
        <v>53162</v>
      </c>
      <c r="I51" s="7" t="inlineStr">
        <is>
          <t>Missing</t>
        </is>
      </c>
      <c r="J51" s="7" t="inlineStr">
        <is>
          <t>Available - OHT Senegal ($2023)</t>
        </is>
      </c>
      <c r="K51" s="7" t="inlineStr">
        <is>
          <t>Available</t>
        </is>
      </c>
      <c r="L51" s="7" t="inlineStr">
        <is>
          <t>No</t>
        </is>
      </c>
      <c r="M51" s="9" t="inlineStr"/>
      <c r="N51" s="9" t="inlineStr"/>
      <c r="O51" s="9" t="inlineStr"/>
    </row>
    <row r="52">
      <c r="A52" s="7" t="n">
        <v>114</v>
      </c>
      <c r="B52" s="7" t="inlineStr">
        <is>
          <t>Maternal/newborn and reproductive health</t>
        </is>
      </c>
      <c r="C52" s="7" t="inlineStr">
        <is>
          <t>Childbirth care - Facility births</t>
        </is>
      </c>
      <c r="D52" s="8" t="inlineStr">
        <is>
          <t>Manual removal of placenta</t>
        </is>
      </c>
      <c r="E52" s="8" t="inlineStr">
        <is>
          <t>Délivrance artificielle du placenta</t>
        </is>
      </c>
      <c r="F52" s="7" t="inlineStr">
        <is>
          <t>Maternal disorders</t>
        </is>
      </c>
      <c r="G52" s="7" t="inlineStr">
        <is>
          <t>Pregnancies carried to term</t>
        </is>
      </c>
      <c r="H52" s="7" t="n">
        <v>10835</v>
      </c>
      <c r="I52" s="7" t="inlineStr">
        <is>
          <t>Missing</t>
        </is>
      </c>
      <c r="J52" s="7" t="inlineStr">
        <is>
          <t>Available - OHT Senegal ($2023)</t>
        </is>
      </c>
      <c r="K52" s="7" t="inlineStr">
        <is>
          <t>Available</t>
        </is>
      </c>
      <c r="L52" s="7" t="inlineStr">
        <is>
          <t>No</t>
        </is>
      </c>
      <c r="M52" s="9" t="inlineStr"/>
      <c r="N52" s="9" t="inlineStr"/>
      <c r="O52" s="9" t="inlineStr"/>
    </row>
    <row r="53">
      <c r="A53" s="7" t="n">
        <v>332</v>
      </c>
      <c r="B53" s="7" t="inlineStr">
        <is>
          <t>TB</t>
        </is>
      </c>
      <c r="C53" s="7" t="inlineStr">
        <is>
          <t>TB diagnosis with Xpert (molecular)</t>
        </is>
      </c>
      <c r="D53" s="8" t="inlineStr">
        <is>
          <t>Initial diagnosis with Xpert: Passive TB case finding, HIV-positive cases</t>
        </is>
      </c>
      <c r="E53" s="8" t="inlineStr">
        <is>
          <t>Diagnostic initial par Xpert : dépistage passif, cas VIH-positifs</t>
        </is>
      </c>
      <c r="F53" s="7" t="inlineStr">
        <is>
          <t>Tuberculosis</t>
        </is>
      </c>
      <c r="G53" s="7" t="inlineStr">
        <is>
          <t>Number of TB/HIV co-infected cases</t>
        </is>
      </c>
      <c r="H53" s="7" t="n">
        <v>3571</v>
      </c>
      <c r="I53" s="7" t="inlineStr">
        <is>
          <t>Available - Tufts (Ratios)</t>
        </is>
      </c>
      <c r="J53" s="7" t="inlineStr">
        <is>
          <t>Available - OHT Senegal ($2023)</t>
        </is>
      </c>
      <c r="K53" s="7" t="inlineStr">
        <is>
          <t>Available</t>
        </is>
      </c>
      <c r="L53" s="7" t="inlineStr">
        <is>
          <t>Yes</t>
        </is>
      </c>
      <c r="M53" s="9" t="inlineStr"/>
      <c r="N53" s="9" t="inlineStr"/>
      <c r="O53" s="9" t="inlineStr"/>
    </row>
    <row r="54">
      <c r="A54" s="7" t="n">
        <v>357</v>
      </c>
      <c r="B54" s="7" t="inlineStr">
        <is>
          <t>TB</t>
        </is>
      </c>
      <c r="C54" s="7" t="inlineStr">
        <is>
          <t>Second-line TB treatment</t>
        </is>
      </c>
      <c r="D54" s="8" t="inlineStr">
        <is>
          <t>Ancillary drugs for adverse events treatment</t>
        </is>
      </c>
      <c r="E54" s="8" t="inlineStr">
        <is>
          <t>Médicaments annexes pour le traitement des effets indésirables</t>
        </is>
      </c>
      <c r="F54" s="7" t="inlineStr">
        <is>
          <t>Tuberculosis</t>
        </is>
      </c>
      <c r="G54" s="7" t="inlineStr">
        <is>
          <t>MDR and XDR cases</t>
        </is>
      </c>
      <c r="H54" s="7" t="n">
        <v>154</v>
      </c>
      <c r="I54" s="7" t="inlineStr">
        <is>
          <t>Missing</t>
        </is>
      </c>
      <c r="J54" s="7" t="inlineStr">
        <is>
          <t>Available - OHT Senegal ($2023)</t>
        </is>
      </c>
      <c r="K54" s="7" t="inlineStr">
        <is>
          <t>Available</t>
        </is>
      </c>
      <c r="L54" s="7" t="inlineStr">
        <is>
          <t>No</t>
        </is>
      </c>
      <c r="M54" s="9" t="inlineStr"/>
      <c r="N54" s="9" t="inlineStr"/>
      <c r="O54" s="9" t="inlineStr"/>
    </row>
    <row r="55">
      <c r="A55" s="7" t="n">
        <v>125</v>
      </c>
      <c r="B55" s="7" t="inlineStr">
        <is>
          <t>Maternal/newborn and reproductive health</t>
        </is>
      </c>
      <c r="C55" s="7" t="inlineStr">
        <is>
          <t>Pregnancy care - Treatment of pregnancy complications</t>
        </is>
      </c>
      <c r="D55" s="8" t="inlineStr">
        <is>
          <t>Deworming (pregnant women)</t>
        </is>
      </c>
      <c r="E55" s="8" t="inlineStr">
        <is>
          <t>Déparasitage (femmes enceintes)</t>
        </is>
      </c>
      <c r="F55" s="7" t="inlineStr">
        <is>
          <t>Dietary iron deficiency</t>
        </is>
      </c>
      <c r="G55" s="7" t="inlineStr">
        <is>
          <t>Pregnant women</t>
        </is>
      </c>
      <c r="H55" s="7" t="n">
        <v>199053</v>
      </c>
      <c r="I55" s="7" t="inlineStr">
        <is>
          <t>Missing</t>
        </is>
      </c>
      <c r="J55" s="7" t="inlineStr">
        <is>
          <t>Available - OHT Senegal ($2023)</t>
        </is>
      </c>
      <c r="K55" s="7" t="inlineStr">
        <is>
          <t>Available</t>
        </is>
      </c>
      <c r="L55" s="7" t="inlineStr">
        <is>
          <t>No</t>
        </is>
      </c>
      <c r="M55" s="9" t="inlineStr"/>
      <c r="N55" s="9" t="inlineStr"/>
      <c r="O55" s="9" t="inlineStr"/>
    </row>
    <row r="56">
      <c r="A56" s="7" t="n">
        <v>16</v>
      </c>
      <c r="B56" s="7" t="inlineStr">
        <is>
          <t>HIV/AIDS</t>
        </is>
      </c>
      <c r="C56" s="7" t="inlineStr">
        <is>
          <t>Care and treatment</t>
        </is>
      </c>
      <c r="D56" s="8" t="inlineStr">
        <is>
          <t>Cotrimoxazole for children</t>
        </is>
      </c>
      <c r="E56" s="8" t="inlineStr">
        <is>
          <t>Cotrimoxazole pour les enfants (nés de mères VIH+)</t>
        </is>
      </c>
      <c r="F56" s="7" t="inlineStr">
        <is>
          <t>HIV/AIDS</t>
        </is>
      </c>
      <c r="G56" s="7" t="inlineStr">
        <is>
          <t>HIV+ children</t>
        </is>
      </c>
      <c r="H56" s="7" t="n">
        <v>2330</v>
      </c>
      <c r="I56" s="7" t="inlineStr">
        <is>
          <t>Missing</t>
        </is>
      </c>
      <c r="J56" s="7" t="inlineStr">
        <is>
          <t>Available - OHT Senegal ($2023)</t>
        </is>
      </c>
      <c r="K56" s="7" t="inlineStr">
        <is>
          <t>Available</t>
        </is>
      </c>
      <c r="L56" s="7" t="inlineStr">
        <is>
          <t>No</t>
        </is>
      </c>
      <c r="M56" s="9" t="inlineStr"/>
      <c r="N56" s="9" t="inlineStr"/>
      <c r="O56" s="9" t="inlineStr"/>
    </row>
    <row r="57">
      <c r="A57" s="7" t="n">
        <v>121</v>
      </c>
      <c r="B57" s="7" t="inlineStr">
        <is>
          <t>Maternal/newborn and reproductive health</t>
        </is>
      </c>
      <c r="C57" s="7" t="inlineStr">
        <is>
          <t>Postpartum care - Treatment of newborn sepsis</t>
        </is>
      </c>
      <c r="D57" s="8" t="inlineStr">
        <is>
          <t>Newborn sepsis - Full supportive care</t>
        </is>
      </c>
      <c r="E57" s="8" t="inlineStr">
        <is>
          <t>Sepsis néonatal - soins de soutien complets</t>
        </is>
      </c>
      <c r="F57" s="7" t="inlineStr">
        <is>
          <t>Neonatal disorders</t>
        </is>
      </c>
      <c r="G57" s="7" t="inlineStr">
        <is>
          <t>Live births</t>
        </is>
      </c>
      <c r="H57" s="7" t="n">
        <v>40403</v>
      </c>
      <c r="I57" s="7" t="inlineStr">
        <is>
          <t>Available - Uganda fallback</t>
        </is>
      </c>
      <c r="J57" s="7" t="inlineStr">
        <is>
          <t>Available - OHT Senegal ($2023)</t>
        </is>
      </c>
      <c r="K57" s="7" t="inlineStr">
        <is>
          <t>Available</t>
        </is>
      </c>
      <c r="L57" s="7" t="inlineStr">
        <is>
          <t>Yes</t>
        </is>
      </c>
      <c r="M57" s="9" t="inlineStr"/>
      <c r="N57" s="9" t="inlineStr"/>
      <c r="O57" s="9" t="inlineStr"/>
    </row>
    <row r="58">
      <c r="A58" s="7" t="n">
        <v>340</v>
      </c>
      <c r="B58" s="7" t="inlineStr">
        <is>
          <t>TB</t>
        </is>
      </c>
      <c r="C58" s="7" t="inlineStr">
        <is>
          <t>TB diagnosis: LPA (molecular)</t>
        </is>
      </c>
      <c r="D58" s="8" t="inlineStr">
        <is>
          <t>Resistance testing LPA: For first-line drugs, previously treated TB cases</t>
        </is>
      </c>
      <c r="E58" s="8" t="inlineStr">
        <is>
          <t>Test de résistance par LPA (test génotypique sur bandelette) : médicaments de 1re ligne, cas déjà traités</t>
        </is>
      </c>
      <c r="F58" s="7" t="inlineStr">
        <is>
          <t>Tuberculosis</t>
        </is>
      </c>
      <c r="G58" s="7" t="inlineStr">
        <is>
          <t>Previously treated, including relapse</t>
        </is>
      </c>
      <c r="H58" s="7" t="n">
        <v>1000</v>
      </c>
      <c r="I58" s="7" t="inlineStr">
        <is>
          <t>Available - Tufts (Ratios)</t>
        </is>
      </c>
      <c r="J58" s="7" t="inlineStr">
        <is>
          <t>Available - OHT Senegal ($2023)</t>
        </is>
      </c>
      <c r="K58" s="7" t="inlineStr">
        <is>
          <t>Available</t>
        </is>
      </c>
      <c r="L58" s="7" t="inlineStr">
        <is>
          <t>Yes</t>
        </is>
      </c>
      <c r="M58" s="9" t="inlineStr"/>
      <c r="N58" s="9" t="inlineStr"/>
      <c r="O58" s="9" t="inlineStr"/>
    </row>
    <row r="59">
      <c r="A59" s="7" t="n">
        <v>327</v>
      </c>
      <c r="B59" s="7" t="inlineStr">
        <is>
          <t>TB</t>
        </is>
      </c>
      <c r="C59" s="7" t="inlineStr">
        <is>
          <t>TB diagnosis: Culture for DST</t>
        </is>
      </c>
      <c r="D59" s="8" t="inlineStr">
        <is>
          <t>Drugs susceptibility testing for first-line drugs: New TB cases</t>
        </is>
      </c>
      <c r="E59" s="8" t="inlineStr">
        <is>
          <t>Test de pharmacosensibilité (médicaments de 1re ligne) : nouveaux cas de TB</t>
        </is>
      </c>
      <c r="F59" s="7" t="inlineStr">
        <is>
          <t>Tuberculosis</t>
        </is>
      </c>
      <c r="G59" s="7" t="inlineStr">
        <is>
          <t>Number of new pulmonary, bacteriologically confirmed TB cases</t>
        </is>
      </c>
      <c r="H59" s="7" t="n">
        <v>9919</v>
      </c>
      <c r="I59" s="7" t="inlineStr">
        <is>
          <t>Available - Tufts (Ratios)</t>
        </is>
      </c>
      <c r="J59" s="7" t="inlineStr">
        <is>
          <t>Available - OHT Senegal ($2023)</t>
        </is>
      </c>
      <c r="K59" s="7" t="inlineStr">
        <is>
          <t>Available</t>
        </is>
      </c>
      <c r="L59" s="7" t="inlineStr">
        <is>
          <t>Yes</t>
        </is>
      </c>
      <c r="M59" s="9" t="inlineStr"/>
      <c r="N59" s="9" t="inlineStr"/>
      <c r="O59" s="9" t="inlineStr"/>
    </row>
    <row r="60">
      <c r="A60" s="7" t="n">
        <v>117</v>
      </c>
      <c r="B60" s="7" t="inlineStr">
        <is>
          <t>Maternal/newborn and reproductive health</t>
        </is>
      </c>
      <c r="C60" s="7" t="inlineStr">
        <is>
          <t>Childbirth care - Facility births</t>
        </is>
      </c>
      <c r="D60" s="8" t="inlineStr">
        <is>
          <t>Blood transfusion</t>
        </is>
      </c>
      <c r="E60" s="8" t="inlineStr">
        <is>
          <t>Transfusion sanguine</t>
        </is>
      </c>
      <c r="F60" s="7" t="inlineStr">
        <is>
          <t>Maternal disorders</t>
        </is>
      </c>
      <c r="G60" s="7" t="inlineStr">
        <is>
          <t>Pregnancies carried to term</t>
        </is>
      </c>
      <c r="H60" s="7" t="n">
        <v>6501</v>
      </c>
      <c r="I60" s="7" t="inlineStr">
        <is>
          <t>Missing</t>
        </is>
      </c>
      <c r="J60" s="7" t="inlineStr">
        <is>
          <t>Available - OHT Senegal ($2023)</t>
        </is>
      </c>
      <c r="K60" s="7" t="inlineStr">
        <is>
          <t>Available</t>
        </is>
      </c>
      <c r="L60" s="7" t="inlineStr">
        <is>
          <t>No</t>
        </is>
      </c>
      <c r="M60" s="9" t="inlineStr"/>
      <c r="N60" s="9" t="inlineStr"/>
      <c r="O60" s="9" t="inlineStr"/>
    </row>
    <row r="61">
      <c r="A61" s="7" t="n">
        <v>347</v>
      </c>
      <c r="B61" s="7" t="inlineStr">
        <is>
          <t>TB</t>
        </is>
      </c>
      <c r="C61" s="7" t="inlineStr">
        <is>
          <t>TB screening with X-rays</t>
        </is>
      </c>
      <c r="D61" s="8" t="inlineStr">
        <is>
          <t>Screening with X-rays: Smear negative</t>
        </is>
      </c>
      <c r="E61" s="8" t="inlineStr">
        <is>
          <t>Dépistage par radiographie : frottis négatif</t>
        </is>
      </c>
      <c r="F61" s="7" t="inlineStr">
        <is>
          <t>Tuberculosis</t>
        </is>
      </c>
      <c r="G61" s="7" t="inlineStr">
        <is>
          <t>Number of new pulmonary, clinically diagnosed TB cases</t>
        </is>
      </c>
      <c r="H61" s="7" t="n">
        <v>9664</v>
      </c>
      <c r="I61" s="7" t="inlineStr">
        <is>
          <t>Available - Tufts (Ratios)</t>
        </is>
      </c>
      <c r="J61" s="7" t="inlineStr">
        <is>
          <t>Available - OHT Senegal ($2023)</t>
        </is>
      </c>
      <c r="K61" s="7" t="inlineStr">
        <is>
          <t>Available</t>
        </is>
      </c>
      <c r="L61" s="7" t="inlineStr">
        <is>
          <t>Yes</t>
        </is>
      </c>
      <c r="M61" s="9" t="inlineStr"/>
      <c r="N61" s="9" t="inlineStr"/>
      <c r="O61" s="9" t="inlineStr"/>
    </row>
    <row r="62">
      <c r="A62" s="7" t="n">
        <v>46</v>
      </c>
      <c r="B62" s="7" t="inlineStr">
        <is>
          <t>HIV/AIDS</t>
        </is>
      </c>
      <c r="C62" s="7" t="inlineStr">
        <is>
          <t>Collaborative HIV/AIDS and TB interventions</t>
        </is>
      </c>
      <c r="D62" s="8" t="inlineStr">
        <is>
          <t>HIV prevention for TB patients</t>
        </is>
      </c>
      <c r="E62" s="8" t="inlineStr">
        <is>
          <t>Prévention du VIH chez les patients tuberculeux</t>
        </is>
      </c>
      <c r="F62" s="7" t="inlineStr">
        <is>
          <t>HIV/AIDS</t>
        </is>
      </c>
      <c r="G62" s="7" t="inlineStr">
        <is>
          <t>Number of new TB cases, excluding relapse</t>
        </is>
      </c>
      <c r="H62" s="7" t="n">
        <v>12749</v>
      </c>
      <c r="I62" s="7" t="inlineStr">
        <is>
          <t>Missing</t>
        </is>
      </c>
      <c r="J62" s="7" t="inlineStr">
        <is>
          <t>Available - OHT Senegal ($2023)</t>
        </is>
      </c>
      <c r="K62" s="7" t="inlineStr">
        <is>
          <t>Available</t>
        </is>
      </c>
      <c r="L62" s="7" t="inlineStr">
        <is>
          <t>No</t>
        </is>
      </c>
      <c r="M62" s="9" t="inlineStr"/>
      <c r="N62" s="9" t="inlineStr"/>
      <c r="O62" s="9" t="inlineStr"/>
    </row>
    <row r="63">
      <c r="A63" s="7" t="n">
        <v>337</v>
      </c>
      <c r="B63" s="7" t="inlineStr">
        <is>
          <t>TB</t>
        </is>
      </c>
      <c r="C63" s="7" t="inlineStr">
        <is>
          <t>TB diagnosis with Xpert (molecular)</t>
        </is>
      </c>
      <c r="D63" s="8" t="inlineStr">
        <is>
          <t>RR-Diagnosis Xpert: Resistance testing for previously treated</t>
        </is>
      </c>
      <c r="E63" s="8" t="inlineStr">
        <is>
          <t>Diagnostic RR par Xpert : test de résistance, cas déjà traités</t>
        </is>
      </c>
      <c r="F63" s="7" t="inlineStr">
        <is>
          <t>Tuberculosis</t>
        </is>
      </c>
      <c r="G63" s="7" t="inlineStr">
        <is>
          <t>Previously treated, including relapse</t>
        </is>
      </c>
      <c r="H63" s="7" t="n">
        <v>1000</v>
      </c>
      <c r="I63" s="7" t="inlineStr">
        <is>
          <t>Available - Tufts (Ratios)</t>
        </is>
      </c>
      <c r="J63" s="7" t="inlineStr">
        <is>
          <t>Available - OHT Senegal ($2023)</t>
        </is>
      </c>
      <c r="K63" s="7" t="inlineStr">
        <is>
          <t>Available</t>
        </is>
      </c>
      <c r="L63" s="7" t="inlineStr">
        <is>
          <t>Yes</t>
        </is>
      </c>
      <c r="M63" s="9" t="inlineStr"/>
      <c r="N63" s="9" t="inlineStr"/>
      <c r="O63" s="9" t="inlineStr"/>
    </row>
    <row r="64">
      <c r="A64" s="7" t="n">
        <v>324</v>
      </c>
      <c r="B64" s="7" t="inlineStr">
        <is>
          <t>TB</t>
        </is>
      </c>
      <c r="C64" s="7" t="inlineStr">
        <is>
          <t>TB diagnosis with culture</t>
        </is>
      </c>
      <c r="D64" s="8" t="inlineStr">
        <is>
          <t>Diagnosis with culture: Diagnostic test for smear negative</t>
        </is>
      </c>
      <c r="E64" s="8" t="inlineStr">
        <is>
          <t>Diagnostic par culture : test diagnostique pour frottis négatif</t>
        </is>
      </c>
      <c r="F64" s="7" t="inlineStr">
        <is>
          <t>Tuberculosis</t>
        </is>
      </c>
      <c r="G64" s="7" t="inlineStr">
        <is>
          <t>Number of new pulmonary, clinically diagnosed TB cases</t>
        </is>
      </c>
      <c r="H64" s="7" t="n">
        <v>9664</v>
      </c>
      <c r="I64" s="7" t="inlineStr">
        <is>
          <t>Available - Tufts (Ratios)</t>
        </is>
      </c>
      <c r="J64" s="7" t="inlineStr">
        <is>
          <t>Available - OHT Senegal ($2023)</t>
        </is>
      </c>
      <c r="K64" s="7" t="inlineStr">
        <is>
          <t>Available</t>
        </is>
      </c>
      <c r="L64" s="7" t="inlineStr">
        <is>
          <t>Yes</t>
        </is>
      </c>
      <c r="M64" s="9" t="inlineStr"/>
      <c r="N64" s="9" t="inlineStr"/>
      <c r="O64" s="9" t="inlineStr"/>
    </row>
    <row r="65">
      <c r="A65" s="7" t="n">
        <v>325</v>
      </c>
      <c r="B65" s="7" t="inlineStr">
        <is>
          <t>TB</t>
        </is>
      </c>
      <c r="C65" s="7" t="inlineStr">
        <is>
          <t>TB diagnosis with culture</t>
        </is>
      </c>
      <c r="D65" s="8" t="inlineStr">
        <is>
          <t>Diagnosis with culture: Diagnostic test for Xpert negative</t>
        </is>
      </c>
      <c r="E65" s="8" t="inlineStr">
        <is>
          <t>Diagnostic par culture : test diagnostique pour Xpert négatif</t>
        </is>
      </c>
      <c r="F65" s="7" t="inlineStr">
        <is>
          <t>Tuberculosis</t>
        </is>
      </c>
      <c r="G65" s="7" t="inlineStr">
        <is>
          <t>Number of new pulmonary, clinically diagnosed TB cases</t>
        </is>
      </c>
      <c r="H65" s="7" t="n">
        <v>9664</v>
      </c>
      <c r="I65" s="7" t="inlineStr">
        <is>
          <t>Available - Tufts (Ratios)</t>
        </is>
      </c>
      <c r="J65" s="7" t="inlineStr">
        <is>
          <t>Available - OHT Senegal ($2023)</t>
        </is>
      </c>
      <c r="K65" s="7" t="inlineStr">
        <is>
          <t>Available</t>
        </is>
      </c>
      <c r="L65" s="7" t="inlineStr">
        <is>
          <t>Yes</t>
        </is>
      </c>
      <c r="M65" s="9" t="inlineStr"/>
      <c r="N65" s="9" t="inlineStr"/>
      <c r="O65" s="9" t="inlineStr"/>
    </row>
    <row r="66">
      <c r="A66" s="7" t="n">
        <v>343</v>
      </c>
      <c r="B66" s="7" t="inlineStr">
        <is>
          <t>TB</t>
        </is>
      </c>
      <c r="C66" s="7" t="inlineStr">
        <is>
          <t>TB screening with X-rays</t>
        </is>
      </c>
      <c r="D66" s="8" t="inlineStr">
        <is>
          <t>Diagnosis with X-rays: Passive TB case finding, child cases</t>
        </is>
      </c>
      <c r="E66" s="8" t="inlineStr">
        <is>
          <t>Diagnostic par radiographie : dépistage passif, cas pédiatriques</t>
        </is>
      </c>
      <c r="F66" s="7" t="inlineStr">
        <is>
          <t>Tuberculosis</t>
        </is>
      </c>
      <c r="G66" s="7" t="inlineStr">
        <is>
          <t>Number of new and relapse TB cases under 15 years</t>
        </is>
      </c>
      <c r="H66" s="7" t="n">
        <v>5922</v>
      </c>
      <c r="I66" s="7" t="inlineStr">
        <is>
          <t>Available - Tufts (Ratios)</t>
        </is>
      </c>
      <c r="J66" s="7" t="inlineStr">
        <is>
          <t>Available - OHT Senegal ($2023)</t>
        </is>
      </c>
      <c r="K66" s="7" t="inlineStr">
        <is>
          <t>Available</t>
        </is>
      </c>
      <c r="L66" s="7" t="inlineStr">
        <is>
          <t>Yes</t>
        </is>
      </c>
      <c r="M66" s="9" t="inlineStr"/>
      <c r="N66" s="9" t="inlineStr"/>
      <c r="O66" s="9" t="inlineStr"/>
    </row>
    <row r="67">
      <c r="A67" s="7" t="n">
        <v>7</v>
      </c>
      <c r="B67" s="7" t="inlineStr">
        <is>
          <t>Child health</t>
        </is>
      </c>
      <c r="C67" s="7" t="inlineStr">
        <is>
          <t>Measles</t>
        </is>
      </c>
      <c r="D67" s="8" t="inlineStr">
        <is>
          <t>Vitamin A for measles treatment (children)</t>
        </is>
      </c>
      <c r="E67" s="8" t="inlineStr">
        <is>
          <t>Vitamine A en traitement de la rougeole (enfants)</t>
        </is>
      </c>
      <c r="F67" s="7" t="inlineStr">
        <is>
          <t>Measles</t>
        </is>
      </c>
      <c r="G67" s="7" t="inlineStr">
        <is>
          <t>Children 1-59 months</t>
        </is>
      </c>
      <c r="H67" s="7" t="n">
        <v>99379</v>
      </c>
      <c r="I67" s="7" t="inlineStr">
        <is>
          <t>Available - Tufts (Ratios)</t>
        </is>
      </c>
      <c r="J67" s="7" t="inlineStr">
        <is>
          <t>Available - OHT Senegal ($2023)</t>
        </is>
      </c>
      <c r="K67" s="7" t="inlineStr">
        <is>
          <t>Available</t>
        </is>
      </c>
      <c r="L67" s="7" t="inlineStr">
        <is>
          <t>Yes</t>
        </is>
      </c>
      <c r="M67" s="9" t="inlineStr"/>
      <c r="N67" s="9" t="inlineStr"/>
      <c r="O67" s="9" t="inlineStr"/>
    </row>
    <row r="68">
      <c r="A68" s="7" t="n">
        <v>318</v>
      </c>
      <c r="B68" s="7" t="inlineStr">
        <is>
          <t>TB</t>
        </is>
      </c>
      <c r="C68" s="7" t="inlineStr">
        <is>
          <t>TB diagnosis with microscopy</t>
        </is>
      </c>
      <c r="D68" s="8" t="inlineStr">
        <is>
          <t>Monitoring with microscopy: Test to monitor first-line drug treatment, new bacteriologically confirmed cases</t>
        </is>
      </c>
      <c r="E68" s="8" t="inlineStr">
        <is>
          <t>Suivi par microscopie : suivi du traitement de 1re ligne, nouveaux cas confirmés bactériologiquement</t>
        </is>
      </c>
      <c r="F68" s="7" t="inlineStr">
        <is>
          <t>Tuberculosis</t>
        </is>
      </c>
      <c r="G68" s="7" t="inlineStr">
        <is>
          <t>Number of new pulmonary, bacteriologically confirmed TB cases</t>
        </is>
      </c>
      <c r="H68" s="7" t="n">
        <v>29756</v>
      </c>
      <c r="I68" s="7" t="inlineStr">
        <is>
          <t>Available - Tufts (Ratios)</t>
        </is>
      </c>
      <c r="J68" s="7" t="inlineStr">
        <is>
          <t>Available - OHT Senegal ($2023)</t>
        </is>
      </c>
      <c r="K68" s="7" t="inlineStr">
        <is>
          <t>Available</t>
        </is>
      </c>
      <c r="L68" s="7" t="inlineStr">
        <is>
          <t>Yes</t>
        </is>
      </c>
      <c r="M68" s="9" t="inlineStr"/>
      <c r="N68" s="9" t="inlineStr"/>
      <c r="O68" s="9" t="inlineStr"/>
    </row>
    <row r="69">
      <c r="A69" s="7" t="n">
        <v>57</v>
      </c>
      <c r="B69" s="7" t="inlineStr">
        <is>
          <t>Malaria</t>
        </is>
      </c>
      <c r="C69" s="7" t="inlineStr">
        <is>
          <t>Prevention</t>
        </is>
      </c>
      <c r="D69" s="8" t="inlineStr">
        <is>
          <t>IPT (pregnant women)</t>
        </is>
      </c>
      <c r="E69" s="8" t="inlineStr">
        <is>
          <t>TPI - traitement préventif intermittent (femmes enceintes)</t>
        </is>
      </c>
      <c r="F69" s="7" t="inlineStr">
        <is>
          <t>Malaria</t>
        </is>
      </c>
      <c r="G69" s="7" t="inlineStr">
        <is>
          <t>Pregnant women</t>
        </is>
      </c>
      <c r="H69" s="7" t="n">
        <v>686388</v>
      </c>
      <c r="I69" s="7" t="inlineStr">
        <is>
          <t>Available - Uganda fallback</t>
        </is>
      </c>
      <c r="J69" s="7" t="inlineStr">
        <is>
          <t>Available - OHT Senegal ($2023)</t>
        </is>
      </c>
      <c r="K69" s="7" t="inlineStr">
        <is>
          <t>Available</t>
        </is>
      </c>
      <c r="L69" s="7" t="inlineStr">
        <is>
          <t>Yes</t>
        </is>
      </c>
      <c r="M69" s="9" t="inlineStr"/>
      <c r="N69" s="9" t="inlineStr"/>
      <c r="O69" s="9" t="inlineStr"/>
    </row>
    <row r="70">
      <c r="A70" s="7" t="n">
        <v>362</v>
      </c>
      <c r="B70" s="7" t="inlineStr">
        <is>
          <t>TB</t>
        </is>
      </c>
      <c r="C70" s="7" t="inlineStr">
        <is>
          <t>Collaborative TB-HIV interventions</t>
        </is>
      </c>
      <c r="D70" s="8" t="inlineStr">
        <is>
          <t>HIV testing and counseling for TB patients</t>
        </is>
      </c>
      <c r="E70" s="8" t="inlineStr">
        <is>
          <t>Dépistage et conseil VIH pour les patients tuberculeux</t>
        </is>
      </c>
      <c r="F70" s="7" t="inlineStr">
        <is>
          <t>Tuberculosis</t>
        </is>
      </c>
      <c r="G70" s="7" t="inlineStr">
        <is>
          <t>Number of new TB cases</t>
        </is>
      </c>
      <c r="H70" s="7" t="n">
        <v>12749</v>
      </c>
      <c r="I70" s="7" t="inlineStr">
        <is>
          <t>Missing</t>
        </is>
      </c>
      <c r="J70" s="7" t="inlineStr">
        <is>
          <t>Available - OHT Senegal ($2023)</t>
        </is>
      </c>
      <c r="K70" s="7" t="inlineStr">
        <is>
          <t>Available</t>
        </is>
      </c>
      <c r="L70" s="7" t="inlineStr">
        <is>
          <t>No</t>
        </is>
      </c>
      <c r="M70" s="9" t="inlineStr"/>
      <c r="N70" s="9" t="inlineStr"/>
      <c r="O70" s="9" t="inlineStr"/>
    </row>
    <row r="71">
      <c r="A71" s="7" t="n">
        <v>344</v>
      </c>
      <c r="B71" s="7" t="inlineStr">
        <is>
          <t>TB</t>
        </is>
      </c>
      <c r="C71" s="7" t="inlineStr">
        <is>
          <t>TB screening with X-rays</t>
        </is>
      </c>
      <c r="D71" s="8" t="inlineStr">
        <is>
          <t>Diagnosis with X-rays: Passive TB case finding, HIV-positive cases</t>
        </is>
      </c>
      <c r="E71" s="8" t="inlineStr">
        <is>
          <t>Diagnostic par radiographie : dépistage passif, cas VIH-positifs</t>
        </is>
      </c>
      <c r="F71" s="7" t="inlineStr">
        <is>
          <t>Tuberculosis</t>
        </is>
      </c>
      <c r="G71" s="7" t="inlineStr">
        <is>
          <t>Number of TB/HIV co-infected cases</t>
        </is>
      </c>
      <c r="H71" s="7" t="n">
        <v>3571</v>
      </c>
      <c r="I71" s="7" t="inlineStr">
        <is>
          <t>Available - Tufts (Ratios)</t>
        </is>
      </c>
      <c r="J71" s="7" t="inlineStr">
        <is>
          <t>Available - OHT Senegal ($2023)</t>
        </is>
      </c>
      <c r="K71" s="7" t="inlineStr">
        <is>
          <t>Available</t>
        </is>
      </c>
      <c r="L71" s="7" t="inlineStr">
        <is>
          <t>Yes</t>
        </is>
      </c>
      <c r="M71" s="9" t="inlineStr"/>
      <c r="N71" s="9" t="inlineStr"/>
      <c r="O71" s="9" t="inlineStr"/>
    </row>
    <row r="72">
      <c r="A72" s="7" t="n">
        <v>349</v>
      </c>
      <c r="B72" s="7" t="inlineStr">
        <is>
          <t>TB</t>
        </is>
      </c>
      <c r="C72" s="7" t="inlineStr">
        <is>
          <t>TB screening with X-rays</t>
        </is>
      </c>
      <c r="D72" s="8" t="inlineStr">
        <is>
          <t>Monitoring X-rays: Test to monitor treatment for previously treated cases</t>
        </is>
      </c>
      <c r="E72" s="8" t="inlineStr">
        <is>
          <t>Suivi par radiographie : suivi du traitement, cas déjà traités</t>
        </is>
      </c>
      <c r="F72" s="7" t="inlineStr">
        <is>
          <t>Tuberculosis</t>
        </is>
      </c>
      <c r="G72" s="7" t="inlineStr">
        <is>
          <t>Previously treated, including relapse</t>
        </is>
      </c>
      <c r="H72" s="7" t="n">
        <v>3001</v>
      </c>
      <c r="I72" s="7" t="inlineStr">
        <is>
          <t>Available - Tufts (Ratios)</t>
        </is>
      </c>
      <c r="J72" s="7" t="inlineStr">
        <is>
          <t>Available - OHT Senegal ($2023)</t>
        </is>
      </c>
      <c r="K72" s="7" t="inlineStr">
        <is>
          <t>Available</t>
        </is>
      </c>
      <c r="L72" s="7" t="inlineStr">
        <is>
          <t>Yes</t>
        </is>
      </c>
      <c r="M72" s="9" t="inlineStr"/>
      <c r="N72" s="9" t="inlineStr"/>
      <c r="O72" s="9" t="inlineStr"/>
    </row>
    <row r="73">
      <c r="A73" s="7" t="n">
        <v>314</v>
      </c>
      <c r="B73" s="7" t="inlineStr">
        <is>
          <t>TB</t>
        </is>
      </c>
      <c r="C73" s="7" t="inlineStr">
        <is>
          <t>TB diagnosis with microscopy</t>
        </is>
      </c>
      <c r="D73" s="8" t="inlineStr">
        <is>
          <t>Diagnosis with microscopy: Passive TB case finding, child cases</t>
        </is>
      </c>
      <c r="E73" s="8" t="inlineStr">
        <is>
          <t>Diagnostic par microscopie : dépistage passif, cas pédiatriques</t>
        </is>
      </c>
      <c r="F73" s="7" t="inlineStr">
        <is>
          <t>Tuberculosis</t>
        </is>
      </c>
      <c r="G73" s="7" t="inlineStr">
        <is>
          <t>Number of new and relapse TB cases under 15 years</t>
        </is>
      </c>
      <c r="H73" s="7" t="n">
        <v>11844</v>
      </c>
      <c r="I73" s="7" t="inlineStr">
        <is>
          <t>Available - Tufts (Ratios)</t>
        </is>
      </c>
      <c r="J73" s="7" t="inlineStr">
        <is>
          <t>Available - OHT Senegal ($2023)</t>
        </is>
      </c>
      <c r="K73" s="7" t="inlineStr">
        <is>
          <t>Available</t>
        </is>
      </c>
      <c r="L73" s="7" t="inlineStr">
        <is>
          <t>Yes</t>
        </is>
      </c>
      <c r="M73" s="9" t="inlineStr"/>
      <c r="N73" s="9" t="inlineStr"/>
      <c r="O73" s="9" t="inlineStr"/>
    </row>
    <row r="74">
      <c r="A74" s="7" t="n">
        <v>329</v>
      </c>
      <c r="B74" s="7" t="inlineStr">
        <is>
          <t>TB</t>
        </is>
      </c>
      <c r="C74" s="7" t="inlineStr">
        <is>
          <t>TB diagnosis: Culture for DST</t>
        </is>
      </c>
      <c r="D74" s="8" t="inlineStr">
        <is>
          <t>Drugs susceptibility testing for second line TB drugs</t>
        </is>
      </c>
      <c r="E74" s="8" t="inlineStr">
        <is>
          <t>Test de pharmacosensibilité (médicaments de 2e ligne)</t>
        </is>
      </c>
      <c r="F74" s="7" t="inlineStr">
        <is>
          <t>Tuberculosis</t>
        </is>
      </c>
      <c r="G74" s="7" t="inlineStr">
        <is>
          <t>MDR and XDR cases</t>
        </is>
      </c>
      <c r="H74" s="7" t="n">
        <v>154</v>
      </c>
      <c r="I74" s="7" t="inlineStr">
        <is>
          <t>Missing</t>
        </is>
      </c>
      <c r="J74" s="7" t="inlineStr">
        <is>
          <t>Available - OHT Senegal ($2023)</t>
        </is>
      </c>
      <c r="K74" s="7" t="inlineStr">
        <is>
          <t>Available</t>
        </is>
      </c>
      <c r="L74" s="7" t="inlineStr">
        <is>
          <t>No</t>
        </is>
      </c>
      <c r="M74" s="9" t="inlineStr"/>
      <c r="N74" s="9" t="inlineStr"/>
      <c r="O74" s="9" t="inlineStr"/>
    </row>
    <row r="75">
      <c r="A75" s="7" t="n">
        <v>328</v>
      </c>
      <c r="B75" s="7" t="inlineStr">
        <is>
          <t>TB</t>
        </is>
      </c>
      <c r="C75" s="7" t="inlineStr">
        <is>
          <t>TB diagnosis: Culture for DST</t>
        </is>
      </c>
      <c r="D75" s="8" t="inlineStr">
        <is>
          <t>Drugs susceptibility testing for first-line drugs: Previously treated TB cases</t>
        </is>
      </c>
      <c r="E75" s="8" t="inlineStr">
        <is>
          <t>Test de pharmacosensibilité (médicaments de 1re ligne) : cas de TB déjà traités</t>
        </is>
      </c>
      <c r="F75" s="7" t="inlineStr">
        <is>
          <t>Tuberculosis</t>
        </is>
      </c>
      <c r="G75" s="7" t="inlineStr">
        <is>
          <t>Previously treated, including relapse</t>
        </is>
      </c>
      <c r="H75" s="7" t="n">
        <v>1000</v>
      </c>
      <c r="I75" s="7" t="inlineStr">
        <is>
          <t>Available - Tufts (Ratios)</t>
        </is>
      </c>
      <c r="J75" s="7" t="inlineStr">
        <is>
          <t>Available - OHT Senegal ($2023)</t>
        </is>
      </c>
      <c r="K75" s="7" t="inlineStr">
        <is>
          <t>Available</t>
        </is>
      </c>
      <c r="L75" s="7" t="inlineStr">
        <is>
          <t>Yes</t>
        </is>
      </c>
      <c r="M75" s="9" t="inlineStr"/>
      <c r="N75" s="9" t="inlineStr"/>
      <c r="O75" s="9" t="inlineStr"/>
    </row>
    <row r="76">
      <c r="A76" s="7" t="n">
        <v>350</v>
      </c>
      <c r="B76" s="7" t="inlineStr">
        <is>
          <t>TB</t>
        </is>
      </c>
      <c r="C76" s="7" t="inlineStr">
        <is>
          <t>TB screening with X-rays</t>
        </is>
      </c>
      <c r="D76" s="8" t="inlineStr">
        <is>
          <t>Monitoring X-rays: Test to monitor treatment for MDR or RR-TB</t>
        </is>
      </c>
      <c r="E76" s="8" t="inlineStr">
        <is>
          <t>Suivi par radiographie : suivi du traitement, TB-MDR ou RR</t>
        </is>
      </c>
      <c r="F76" s="7" t="inlineStr">
        <is>
          <t>Tuberculosis</t>
        </is>
      </c>
      <c r="G76" s="7" t="inlineStr">
        <is>
          <t>MDR and XDR cases</t>
        </is>
      </c>
      <c r="H76" s="7" t="n">
        <v>923</v>
      </c>
      <c r="I76" s="7" t="inlineStr">
        <is>
          <t>Available - Tufts (Ratios)</t>
        </is>
      </c>
      <c r="J76" s="7" t="inlineStr">
        <is>
          <t>Available - OHT Senegal ($2023)</t>
        </is>
      </c>
      <c r="K76" s="7" t="inlineStr">
        <is>
          <t>Available</t>
        </is>
      </c>
      <c r="L76" s="7" t="inlineStr">
        <is>
          <t>Yes</t>
        </is>
      </c>
      <c r="M76" s="9" t="inlineStr"/>
      <c r="N76" s="9" t="inlineStr"/>
      <c r="O76" s="9" t="inlineStr"/>
    </row>
    <row r="77">
      <c r="A77" s="7" t="n">
        <v>315</v>
      </c>
      <c r="B77" s="7" t="inlineStr">
        <is>
          <t>TB</t>
        </is>
      </c>
      <c r="C77" s="7" t="inlineStr">
        <is>
          <t>TB diagnosis with microscopy</t>
        </is>
      </c>
      <c r="D77" s="8" t="inlineStr">
        <is>
          <t>Diagnosis with microscopy: Passive TB case finding, HIV-positive cases</t>
        </is>
      </c>
      <c r="E77" s="8" t="inlineStr">
        <is>
          <t>Diagnostic par microscopie : dépistage passif, cas VIH-positifs</t>
        </is>
      </c>
      <c r="F77" s="7" t="inlineStr">
        <is>
          <t>Tuberculosis</t>
        </is>
      </c>
      <c r="G77" s="7" t="inlineStr">
        <is>
          <t>Number of new pulmonary, bacteriologically confirmed, HIV+ TB cases (adults)</t>
        </is>
      </c>
      <c r="H77" s="7" t="n">
        <v>4930</v>
      </c>
      <c r="I77" s="7" t="inlineStr">
        <is>
          <t>Available - Tufts (Ratios)</t>
        </is>
      </c>
      <c r="J77" s="7" t="inlineStr">
        <is>
          <t>Available - OHT Senegal ($2023)</t>
        </is>
      </c>
      <c r="K77" s="7" t="inlineStr">
        <is>
          <t>Available</t>
        </is>
      </c>
      <c r="L77" s="7" t="inlineStr">
        <is>
          <t>Yes</t>
        </is>
      </c>
      <c r="M77" s="9" t="inlineStr"/>
      <c r="N77" s="9" t="inlineStr"/>
      <c r="O77" s="9" t="inlineStr"/>
    </row>
    <row r="78">
      <c r="A78" s="7" t="n">
        <v>341</v>
      </c>
      <c r="B78" s="7" t="inlineStr">
        <is>
          <t>TB</t>
        </is>
      </c>
      <c r="C78" s="7" t="inlineStr">
        <is>
          <t>TB diagnosis: LPA (molecular)</t>
        </is>
      </c>
      <c r="D78" s="8" t="inlineStr">
        <is>
          <t>Resistance testing with LPA: For second-line drugs</t>
        </is>
      </c>
      <c r="E78" s="8" t="inlineStr">
        <is>
          <t>Test de résistance par LPA : médicaments de 2e ligne</t>
        </is>
      </c>
      <c r="F78" s="7" t="inlineStr">
        <is>
          <t>Tuberculosis</t>
        </is>
      </c>
      <c r="G78" s="7" t="inlineStr">
        <is>
          <t>MDR and XDR cases</t>
        </is>
      </c>
      <c r="H78" s="7" t="n">
        <v>154</v>
      </c>
      <c r="I78" s="7" t="inlineStr">
        <is>
          <t>Missing</t>
        </is>
      </c>
      <c r="J78" s="7" t="inlineStr">
        <is>
          <t>Available - OHT Senegal ($2023)</t>
        </is>
      </c>
      <c r="K78" s="7" t="inlineStr">
        <is>
          <t>Available</t>
        </is>
      </c>
      <c r="L78" s="7" t="inlineStr">
        <is>
          <t>No</t>
        </is>
      </c>
      <c r="M78" s="9" t="inlineStr"/>
      <c r="N78" s="9" t="inlineStr"/>
      <c r="O78" s="9" t="inlineStr"/>
    </row>
    <row r="79">
      <c r="A79" s="7" t="n">
        <v>326</v>
      </c>
      <c r="B79" s="7" t="inlineStr">
        <is>
          <t>TB</t>
        </is>
      </c>
      <c r="C79" s="7" t="inlineStr">
        <is>
          <t>TB diagnosis with culture</t>
        </is>
      </c>
      <c r="D79" s="8" t="inlineStr">
        <is>
          <t>Monitoring with culture: Test to monitor second-line treatment for RR-/MDR-TB</t>
        </is>
      </c>
      <c r="E79" s="8" t="inlineStr">
        <is>
          <t>Suivi par culture : suivi du traitement de 2e ligne (TB-RR/MDR)</t>
        </is>
      </c>
      <c r="F79" s="7" t="inlineStr">
        <is>
          <t>Tuberculosis</t>
        </is>
      </c>
      <c r="G79" s="7" t="inlineStr">
        <is>
          <t>Non-XDR cases</t>
        </is>
      </c>
      <c r="H79" s="7" t="n">
        <v>923</v>
      </c>
      <c r="I79" s="7" t="inlineStr">
        <is>
          <t>Available - Tufts (Ratios)</t>
        </is>
      </c>
      <c r="J79" s="7" t="inlineStr">
        <is>
          <t>Available - OHT Senegal ($2023)</t>
        </is>
      </c>
      <c r="K79" s="7" t="inlineStr">
        <is>
          <t>Available</t>
        </is>
      </c>
      <c r="L79" s="7" t="inlineStr">
        <is>
          <t>Yes</t>
        </is>
      </c>
      <c r="M79" s="9" t="inlineStr"/>
      <c r="N79" s="9" t="inlineStr"/>
      <c r="O79" s="9" t="inlineStr"/>
    </row>
    <row r="80">
      <c r="A80" s="7" t="n">
        <v>319</v>
      </c>
      <c r="B80" s="7" t="inlineStr">
        <is>
          <t>TB</t>
        </is>
      </c>
      <c r="C80" s="7" t="inlineStr">
        <is>
          <t>TB diagnosis with microscopy</t>
        </is>
      </c>
      <c r="D80" s="8" t="inlineStr">
        <is>
          <t>Monitoring with microscopy: Test to monitor first-line drug treatment, previously treated cases</t>
        </is>
      </c>
      <c r="E80" s="8" t="inlineStr">
        <is>
          <t>Suivi par microscopie : suivi du traitement de 1re ligne, cas déjà traités</t>
        </is>
      </c>
      <c r="F80" s="7" t="inlineStr">
        <is>
          <t>Tuberculosis</t>
        </is>
      </c>
      <c r="G80" s="7" t="inlineStr">
        <is>
          <t>Previously treated, including relapse</t>
        </is>
      </c>
      <c r="H80" s="7" t="n">
        <v>3001</v>
      </c>
      <c r="I80" s="7" t="inlineStr">
        <is>
          <t>Available - Tufts (Ratios)</t>
        </is>
      </c>
      <c r="J80" s="7" t="inlineStr">
        <is>
          <t>Available - OHT Senegal ($2023)</t>
        </is>
      </c>
      <c r="K80" s="7" t="inlineStr">
        <is>
          <t>Available</t>
        </is>
      </c>
      <c r="L80" s="7" t="inlineStr">
        <is>
          <t>Yes</t>
        </is>
      </c>
      <c r="M80" s="9" t="inlineStr"/>
      <c r="N80" s="9" t="inlineStr"/>
      <c r="O80" s="9" t="inlineStr"/>
    </row>
    <row r="81">
      <c r="A81" s="7" t="n">
        <v>115</v>
      </c>
      <c r="B81" s="7" t="inlineStr">
        <is>
          <t>Maternal/newborn and reproductive health</t>
        </is>
      </c>
      <c r="C81" s="7" t="inlineStr">
        <is>
          <t>Childbirth care - Facility births</t>
        </is>
      </c>
      <c r="D81" s="8" t="inlineStr">
        <is>
          <t>Removal of retained products of conception</t>
        </is>
      </c>
      <c r="E81" s="8" t="inlineStr">
        <is>
          <t>Extraction des produits de conception retenus</t>
        </is>
      </c>
      <c r="F81" s="7" t="inlineStr">
        <is>
          <t>Maternal disorders</t>
        </is>
      </c>
      <c r="G81" s="7" t="inlineStr">
        <is>
          <t>Pregnancies carried to term</t>
        </is>
      </c>
      <c r="H81" s="7" t="n">
        <v>542</v>
      </c>
      <c r="I81" s="7" t="inlineStr">
        <is>
          <t>Missing</t>
        </is>
      </c>
      <c r="J81" s="7" t="inlineStr">
        <is>
          <t>Available - OHT Senegal ($2023)</t>
        </is>
      </c>
      <c r="K81" s="7" t="inlineStr">
        <is>
          <t>Available</t>
        </is>
      </c>
      <c r="L81" s="7" t="inlineStr">
        <is>
          <t>No</t>
        </is>
      </c>
      <c r="M81" s="9" t="inlineStr"/>
      <c r="N81" s="9" t="inlineStr"/>
      <c r="O81" s="9" t="inlineStr"/>
    </row>
    <row r="82">
      <c r="A82" s="7" t="n">
        <v>320</v>
      </c>
      <c r="B82" s="7" t="inlineStr">
        <is>
          <t>TB</t>
        </is>
      </c>
      <c r="C82" s="7" t="inlineStr">
        <is>
          <t>TB diagnosis with microscopy</t>
        </is>
      </c>
      <c r="D82" s="8" t="inlineStr">
        <is>
          <t>Monitoring with microscopy: Test to monitor second-line treatment for RR-/MDR TB</t>
        </is>
      </c>
      <c r="E82" s="8" t="inlineStr">
        <is>
          <t>Suivi par microscopie : suivi du traitement de 2e ligne (TB-RR/MDR)</t>
        </is>
      </c>
      <c r="F82" s="7" t="inlineStr">
        <is>
          <t>Tuberculosis</t>
        </is>
      </c>
      <c r="G82" s="7" t="inlineStr">
        <is>
          <t>Non-XDR cases</t>
        </is>
      </c>
      <c r="H82" s="7" t="n">
        <v>923</v>
      </c>
      <c r="I82" s="7" t="inlineStr">
        <is>
          <t>Available - Tufts (Ratios)</t>
        </is>
      </c>
      <c r="J82" s="7" t="inlineStr">
        <is>
          <t>Available - OHT Senegal ($2023)</t>
        </is>
      </c>
      <c r="K82" s="7" t="inlineStr">
        <is>
          <t>Available</t>
        </is>
      </c>
      <c r="L82" s="7" t="inlineStr">
        <is>
          <t>Yes</t>
        </is>
      </c>
      <c r="M82" s="9" t="inlineStr"/>
      <c r="N82" s="9" t="inlineStr"/>
      <c r="O82" s="9" t="inlineStr"/>
    </row>
    <row r="83">
      <c r="A83" s="7" t="n">
        <v>303</v>
      </c>
      <c r="B83" s="7" t="inlineStr">
        <is>
          <t>Nutrition</t>
        </is>
      </c>
      <c r="C83" s="7" t="inlineStr">
        <is>
          <t>Pregnant and lactating women</t>
        </is>
      </c>
      <c r="D83" s="8" t="inlineStr">
        <is>
          <t>Intermittent FAF, postpartum, non-anemic pregnant women</t>
        </is>
      </c>
      <c r="E83" s="8" t="inlineStr">
        <is>
          <t>Fer-folates intermittent, post-partum, femmes non anémiques</t>
        </is>
      </c>
      <c r="F83" s="7" t="inlineStr">
        <is>
          <t>Dietary iron deficiency</t>
        </is>
      </c>
      <c r="G83" s="7" t="inlineStr">
        <is>
          <t>Live births</t>
        </is>
      </c>
      <c r="H83" s="7" t="n">
        <v>531616</v>
      </c>
      <c r="I83" s="7" t="inlineStr">
        <is>
          <t>Missing</t>
        </is>
      </c>
      <c r="J83" s="7" t="inlineStr">
        <is>
          <t>Available - OHT Senegal ($2023)</t>
        </is>
      </c>
      <c r="K83" s="7" t="inlineStr">
        <is>
          <t>Available</t>
        </is>
      </c>
      <c r="L83" s="7" t="inlineStr">
        <is>
          <t>No</t>
        </is>
      </c>
      <c r="M83" s="9" t="inlineStr"/>
      <c r="N83" s="9" t="inlineStr"/>
      <c r="O83" s="9" t="inlineStr"/>
    </row>
    <row r="84">
      <c r="A84" s="7" t="n">
        <v>27</v>
      </c>
      <c r="B84" s="7" t="inlineStr">
        <is>
          <t>HIV/AIDS</t>
        </is>
      </c>
      <c r="C84" s="7" t="inlineStr">
        <is>
          <t>Prevention - Other</t>
        </is>
      </c>
      <c r="D84" s="8" t="inlineStr">
        <is>
          <t>PrEP</t>
        </is>
      </c>
      <c r="E84" s="8" t="inlineStr">
        <is>
          <t>PrEP (prophylaxie pré-exposition)</t>
        </is>
      </c>
      <c r="F84" s="7" t="inlineStr">
        <is>
          <t>HIV/AIDS</t>
        </is>
      </c>
      <c r="G84" s="7" t="inlineStr">
        <is>
          <t>Adults 15-49</t>
        </is>
      </c>
      <c r="H84" s="7" t="n">
        <v>9211758</v>
      </c>
      <c r="I84" s="7" t="inlineStr">
        <is>
          <t>Available - Uganda fallback</t>
        </is>
      </c>
      <c r="J84" s="7" t="inlineStr">
        <is>
          <t>Available - OHT Senegal ($2023)</t>
        </is>
      </c>
      <c r="K84" s="7" t="inlineStr">
        <is>
          <t>Available</t>
        </is>
      </c>
      <c r="L84" s="7" t="inlineStr">
        <is>
          <t>Yes</t>
        </is>
      </c>
      <c r="M84" s="9" t="inlineStr"/>
      <c r="N84" s="9" t="inlineStr"/>
      <c r="O84" s="9" t="inlineStr"/>
    </row>
    <row r="85">
      <c r="A85" s="7" t="n">
        <v>124</v>
      </c>
      <c r="B85" s="7" t="inlineStr">
        <is>
          <t>Maternal/newborn and reproductive health</t>
        </is>
      </c>
      <c r="C85" s="7" t="inlineStr">
        <is>
          <t>Pregnancy care - Treatment of pregnancy complications</t>
        </is>
      </c>
      <c r="D85" s="8" t="inlineStr">
        <is>
          <t>Management of other pregnancy complications</t>
        </is>
      </c>
      <c r="E85" s="8" t="inlineStr">
        <is>
          <t>Prise en charge d'autres complications de la grossesse</t>
        </is>
      </c>
      <c r="F85" s="7" t="inlineStr">
        <is>
          <t>Maternal disorders</t>
        </is>
      </c>
      <c r="G85" s="7" t="inlineStr">
        <is>
          <t>Pregnant women</t>
        </is>
      </c>
      <c r="H85" s="7" t="n">
        <v>686388</v>
      </c>
      <c r="I85" s="7" t="inlineStr">
        <is>
          <t>Available - Tufts (Ratios)</t>
        </is>
      </c>
      <c r="J85" s="7" t="inlineStr">
        <is>
          <t>Available - OHT Senegal ($2023)</t>
        </is>
      </c>
      <c r="K85" s="7" t="inlineStr">
        <is>
          <t>Available</t>
        </is>
      </c>
      <c r="L85" s="7" t="inlineStr">
        <is>
          <t>Yes</t>
        </is>
      </c>
      <c r="M85" s="9" t="inlineStr"/>
      <c r="N85" s="9" t="inlineStr"/>
      <c r="O85" s="9" t="inlineStr"/>
    </row>
    <row r="86">
      <c r="A86" s="7" t="n">
        <v>72</v>
      </c>
      <c r="B86" s="7" t="inlineStr">
        <is>
          <t>Maternal/newborn and reproductive health</t>
        </is>
      </c>
      <c r="C86" s="7" t="inlineStr">
        <is>
          <t>Management of abortion complications</t>
        </is>
      </c>
      <c r="D86" s="8" t="inlineStr">
        <is>
          <t>Post-abortion case management</t>
        </is>
      </c>
      <c r="E86" s="8" t="inlineStr">
        <is>
          <t>Prise en charge post-avortement</t>
        </is>
      </c>
      <c r="F86" s="7" t="inlineStr">
        <is>
          <t>Maternal disorders</t>
        </is>
      </c>
      <c r="G86" s="7" t="inlineStr">
        <is>
          <t>Abortions</t>
        </is>
      </c>
      <c r="H86" s="7" t="n">
        <v>485</v>
      </c>
      <c r="I86" s="7" t="inlineStr">
        <is>
          <t>Available - Uganda fallback</t>
        </is>
      </c>
      <c r="J86" s="7" t="inlineStr">
        <is>
          <t>Available - OHT Senegal ($2023)</t>
        </is>
      </c>
      <c r="K86" s="7" t="inlineStr">
        <is>
          <t>Available</t>
        </is>
      </c>
      <c r="L86" s="7" t="inlineStr">
        <is>
          <t>Yes</t>
        </is>
      </c>
      <c r="M86" s="9" t="inlineStr"/>
      <c r="N86" s="9" t="inlineStr"/>
      <c r="O86" s="9" t="inlineStr"/>
    </row>
    <row r="87">
      <c r="A87" s="7" t="n">
        <v>107</v>
      </c>
      <c r="B87" s="7" t="inlineStr">
        <is>
          <t>Maternal/newborn and reproductive health</t>
        </is>
      </c>
      <c r="C87" s="7" t="inlineStr">
        <is>
          <t>Childbirth care - Facility births</t>
        </is>
      </c>
      <c r="D87" s="8" t="inlineStr">
        <is>
          <t>Neonatal resuscitation</t>
        </is>
      </c>
      <c r="E87" s="8" t="inlineStr">
        <is>
          <t>Réanimation néonatale</t>
        </is>
      </c>
      <c r="F87" s="7" t="inlineStr">
        <is>
          <t>Neonatal disorders</t>
        </is>
      </c>
      <c r="G87" s="7" t="inlineStr">
        <is>
          <t>Live births</t>
        </is>
      </c>
      <c r="H87" s="7" t="n">
        <v>21265</v>
      </c>
      <c r="I87" s="7" t="inlineStr">
        <is>
          <t>Available - Uganda fallback</t>
        </is>
      </c>
      <c r="J87" s="7" t="inlineStr">
        <is>
          <t>Available - OHT Senegal ($2023)</t>
        </is>
      </c>
      <c r="K87" s="7" t="inlineStr">
        <is>
          <t>Available</t>
        </is>
      </c>
      <c r="L87" s="7" t="inlineStr">
        <is>
          <t>Yes</t>
        </is>
      </c>
      <c r="M87" s="9" t="inlineStr"/>
      <c r="N87" s="9" t="inlineStr"/>
      <c r="O87" s="9" t="inlineStr"/>
    </row>
    <row r="88">
      <c r="A88" s="7" t="n">
        <v>110</v>
      </c>
      <c r="B88" s="7" t="inlineStr">
        <is>
          <t>Maternal/newborn and reproductive health</t>
        </is>
      </c>
      <c r="C88" s="7" t="inlineStr">
        <is>
          <t>Childbirth care - Facility births</t>
        </is>
      </c>
      <c r="D88" s="8" t="inlineStr">
        <is>
          <t>MgSO4 for eclampsia</t>
        </is>
      </c>
      <c r="E88" s="8" t="inlineStr">
        <is>
          <t>Sulfate de magnésium pour l'éclampsie</t>
        </is>
      </c>
      <c r="F88" s="7" t="inlineStr">
        <is>
          <t>Maternal disorders</t>
        </is>
      </c>
      <c r="G88" s="7" t="inlineStr">
        <is>
          <t>Pregnancies carried to term</t>
        </is>
      </c>
      <c r="H88" s="7" t="n">
        <v>7585</v>
      </c>
      <c r="I88" s="7" t="inlineStr">
        <is>
          <t>Available - Uganda fallback</t>
        </is>
      </c>
      <c r="J88" s="7" t="inlineStr">
        <is>
          <t>Available - OHT Senegal ($2023)</t>
        </is>
      </c>
      <c r="K88" s="7" t="inlineStr">
        <is>
          <t>Available</t>
        </is>
      </c>
      <c r="L88" s="7" t="inlineStr">
        <is>
          <t>Yes</t>
        </is>
      </c>
      <c r="M88" s="9" t="inlineStr"/>
      <c r="N88" s="9" t="inlineStr"/>
      <c r="O88" s="9" t="inlineStr"/>
    </row>
    <row r="89">
      <c r="A89" s="7" t="n">
        <v>113</v>
      </c>
      <c r="B89" s="7" t="inlineStr">
        <is>
          <t>Maternal/newborn and reproductive health</t>
        </is>
      </c>
      <c r="C89" s="7" t="inlineStr">
        <is>
          <t>Childbirth care - Facility births</t>
        </is>
      </c>
      <c r="D89" s="8" t="inlineStr">
        <is>
          <t>Labor and delivery management</t>
        </is>
      </c>
      <c r="E89" s="8" t="inlineStr">
        <is>
          <t>Prise en charge du travail et de l'accouchement</t>
        </is>
      </c>
      <c r="F89" s="7" t="inlineStr">
        <is>
          <t>Maternal disorders</t>
        </is>
      </c>
      <c r="G89" s="7" t="inlineStr">
        <is>
          <t>Pregnancies carried to term</t>
        </is>
      </c>
      <c r="H89" s="7" t="n">
        <v>487596</v>
      </c>
      <c r="I89" s="7" t="inlineStr">
        <is>
          <t>Available - Uganda fallback</t>
        </is>
      </c>
      <c r="J89" s="7" t="inlineStr">
        <is>
          <t>Available - OHT Senegal ($2023)</t>
        </is>
      </c>
      <c r="K89" s="7" t="inlineStr">
        <is>
          <t>Available</t>
        </is>
      </c>
      <c r="L89" s="7" t="inlineStr">
        <is>
          <t>Yes</t>
        </is>
      </c>
      <c r="M89" s="9" t="inlineStr"/>
      <c r="N89" s="9" t="inlineStr"/>
      <c r="O89" s="9" t="inlineStr"/>
    </row>
    <row r="90">
      <c r="A90" s="7" t="n">
        <v>55</v>
      </c>
      <c r="B90" s="7" t="inlineStr">
        <is>
          <t>Immunization</t>
        </is>
      </c>
      <c r="C90" s="7" t="inlineStr">
        <is>
          <t>Immunization</t>
        </is>
      </c>
      <c r="D90" s="8" t="inlineStr">
        <is>
          <t>Measles vaccine</t>
        </is>
      </c>
      <c r="E90" s="8" t="inlineStr">
        <is>
          <t>Vaccin antirougeoleux</t>
        </is>
      </c>
      <c r="F90" s="7" t="inlineStr">
        <is>
          <t>Measles</t>
        </is>
      </c>
      <c r="G90" s="7" t="inlineStr">
        <is>
          <t>Infants surviving past one month</t>
        </is>
      </c>
      <c r="H90" s="7" t="n">
        <v>520747</v>
      </c>
      <c r="I90" s="7" t="inlineStr">
        <is>
          <t>Available - Uganda fallback</t>
        </is>
      </c>
      <c r="J90" s="7" t="inlineStr">
        <is>
          <t>Available - OHT Senegal ($2023)</t>
        </is>
      </c>
      <c r="K90" s="7" t="inlineStr">
        <is>
          <t>Available</t>
        </is>
      </c>
      <c r="L90" s="7" t="inlineStr">
        <is>
          <t>Yes</t>
        </is>
      </c>
      <c r="M90" s="9" t="inlineStr"/>
      <c r="N90" s="9" t="inlineStr"/>
      <c r="O90" s="9" t="inlineStr"/>
    </row>
    <row r="91">
      <c r="A91" s="7" t="n">
        <v>99</v>
      </c>
      <c r="B91" s="7" t="inlineStr">
        <is>
          <t>Maternal/newborn and reproductive health</t>
        </is>
      </c>
      <c r="C91" s="7" t="inlineStr">
        <is>
          <t>Pregancy care - ANC</t>
        </is>
      </c>
      <c r="D91" s="8" t="inlineStr">
        <is>
          <t>Tetanus toxoid (pregnant women)</t>
        </is>
      </c>
      <c r="E91" s="8" t="inlineStr">
        <is>
          <t>Anatoxine tétanique (femmes enceintes)</t>
        </is>
      </c>
      <c r="F91" s="7" t="inlineStr">
        <is>
          <t>Neonatal disorders</t>
        </is>
      </c>
      <c r="G91" s="7" t="inlineStr">
        <is>
          <t>Pregnant women</t>
        </is>
      </c>
      <c r="H91" s="7" t="n">
        <v>686388</v>
      </c>
      <c r="I91" s="7" t="inlineStr">
        <is>
          <t>Available - Uganda fallback</t>
        </is>
      </c>
      <c r="J91" s="7" t="inlineStr">
        <is>
          <t>Available - OHT Senegal ($2023)</t>
        </is>
      </c>
      <c r="K91" s="7" t="inlineStr">
        <is>
          <t>Available</t>
        </is>
      </c>
      <c r="L91" s="7" t="inlineStr">
        <is>
          <t>Yes</t>
        </is>
      </c>
      <c r="M91" s="9" t="inlineStr"/>
      <c r="N91" s="9" t="inlineStr"/>
      <c r="O91" s="9" t="inlineStr"/>
    </row>
    <row r="92">
      <c r="A92" s="7" t="n">
        <v>102</v>
      </c>
      <c r="B92" s="7" t="inlineStr">
        <is>
          <t>Maternal/newborn and reproductive health</t>
        </is>
      </c>
      <c r="C92" s="7" t="inlineStr">
        <is>
          <t>Pregnancy care - Treatment of pregnancy complications</t>
        </is>
      </c>
      <c r="D92" s="8" t="inlineStr">
        <is>
          <t>Management of pre-eclampsia (Magnesium sulphate)</t>
        </is>
      </c>
      <c r="E92" s="8" t="inlineStr">
        <is>
          <t>Prise en charge de la pré-éclampsie (sulfate de magnésium)</t>
        </is>
      </c>
      <c r="F92" s="7" t="inlineStr">
        <is>
          <t>Maternal disorders</t>
        </is>
      </c>
      <c r="G92" s="7" t="inlineStr">
        <is>
          <t>Pregnant women</t>
        </is>
      </c>
      <c r="H92" s="7" t="n">
        <v>31574</v>
      </c>
      <c r="I92" s="7" t="inlineStr">
        <is>
          <t>Available - Uganda fallback</t>
        </is>
      </c>
      <c r="J92" s="7" t="inlineStr">
        <is>
          <t>Available - OHT Senegal ($2023)</t>
        </is>
      </c>
      <c r="K92" s="7" t="inlineStr">
        <is>
          <t>Available</t>
        </is>
      </c>
      <c r="L92" s="7" t="inlineStr">
        <is>
          <t>Yes</t>
        </is>
      </c>
      <c r="M92" s="9" t="inlineStr"/>
      <c r="N92" s="9" t="inlineStr"/>
      <c r="O92" s="9" t="inlineStr"/>
    </row>
    <row r="93">
      <c r="A93" s="7" t="n">
        <v>71</v>
      </c>
      <c r="B93" s="7" t="inlineStr">
        <is>
          <t>Maternal/newborn and reproductive health</t>
        </is>
      </c>
      <c r="C93" s="7" t="inlineStr">
        <is>
          <t>Safe abortion</t>
        </is>
      </c>
      <c r="D93" s="8" t="inlineStr">
        <is>
          <t>Safe abortion</t>
        </is>
      </c>
      <c r="E93" s="8" t="inlineStr">
        <is>
          <t>Avortement sécurisé</t>
        </is>
      </c>
      <c r="F93" s="7" t="inlineStr">
        <is>
          <t>Maternal disorders</t>
        </is>
      </c>
      <c r="G93" s="7" t="inlineStr">
        <is>
          <t>Safe abortion</t>
        </is>
      </c>
      <c r="H93" s="7" t="n">
        <v>65542</v>
      </c>
      <c r="I93" s="7" t="inlineStr">
        <is>
          <t>Available - Uganda fallback</t>
        </is>
      </c>
      <c r="J93" s="7" t="inlineStr">
        <is>
          <t>Available - OHT Senegal ($2023)</t>
        </is>
      </c>
      <c r="K93" s="7" t="inlineStr">
        <is>
          <t>Available</t>
        </is>
      </c>
      <c r="L93" s="7" t="inlineStr">
        <is>
          <t>Yes</t>
        </is>
      </c>
      <c r="M93" s="9" t="inlineStr"/>
      <c r="N93" s="9" t="inlineStr"/>
      <c r="O93" s="9" t="inlineStr"/>
    </row>
    <row r="94">
      <c r="A94" s="7" t="n">
        <v>101</v>
      </c>
      <c r="B94" s="7" t="inlineStr">
        <is>
          <t>Maternal/newborn and reproductive health</t>
        </is>
      </c>
      <c r="C94" s="7" t="inlineStr">
        <is>
          <t>Pregnancy care - Treatment of pregnancy complications</t>
        </is>
      </c>
      <c r="D94" s="8" t="inlineStr">
        <is>
          <t>Hypertensive disorder case management</t>
        </is>
      </c>
      <c r="E94" s="8" t="inlineStr">
        <is>
          <t>Prise en charge des troubles hypertensifs de la grossesse</t>
        </is>
      </c>
      <c r="F94" s="7" t="inlineStr">
        <is>
          <t>Maternal disorders</t>
        </is>
      </c>
      <c r="G94" s="7" t="inlineStr">
        <is>
          <t>Pregnant women</t>
        </is>
      </c>
      <c r="H94" s="7" t="n">
        <v>45988</v>
      </c>
      <c r="I94" s="7" t="inlineStr">
        <is>
          <t>Available - Uganda fallback</t>
        </is>
      </c>
      <c r="J94" s="7" t="inlineStr">
        <is>
          <t>Available - OHT Senegal ($2023)</t>
        </is>
      </c>
      <c r="K94" s="7" t="inlineStr">
        <is>
          <t>Available</t>
        </is>
      </c>
      <c r="L94" s="7" t="inlineStr">
        <is>
          <t>Yes</t>
        </is>
      </c>
      <c r="M94" s="9" t="inlineStr"/>
      <c r="N94" s="9" t="inlineStr"/>
      <c r="O94" s="9" t="inlineStr"/>
    </row>
    <row r="95">
      <c r="A95" s="7" t="n">
        <v>35</v>
      </c>
      <c r="B95" s="7" t="inlineStr">
        <is>
          <t>HIV/AIDS</t>
        </is>
      </c>
      <c r="C95" s="7" t="inlineStr">
        <is>
          <t>Care and treatment</t>
        </is>
      </c>
      <c r="D95" s="8" t="inlineStr">
        <is>
          <t>ART (First-Line Treatment) for men</t>
        </is>
      </c>
      <c r="E95" s="8" t="inlineStr">
        <is>
          <t>TAR - traitement de 1re ligne (hommes)</t>
        </is>
      </c>
      <c r="F95" s="7" t="inlineStr">
        <is>
          <t>HIV/AIDS</t>
        </is>
      </c>
      <c r="G95" s="7" t="inlineStr">
        <is>
          <t>Number of men needing ART</t>
        </is>
      </c>
      <c r="H95" s="7" t="n">
        <v>19270</v>
      </c>
      <c r="I95" s="7" t="inlineStr">
        <is>
          <t>Available - Uganda fallback</t>
        </is>
      </c>
      <c r="J95" s="7" t="inlineStr">
        <is>
          <t>Available - OHT Senegal ($2023)</t>
        </is>
      </c>
      <c r="K95" s="7" t="inlineStr">
        <is>
          <t>Available</t>
        </is>
      </c>
      <c r="L95" s="7" t="inlineStr">
        <is>
          <t>Yes</t>
        </is>
      </c>
      <c r="M95" s="9" t="inlineStr"/>
      <c r="N95" s="9" t="inlineStr"/>
      <c r="O95" s="9" t="inlineStr"/>
    </row>
    <row r="96">
      <c r="A96" s="7" t="n">
        <v>36</v>
      </c>
      <c r="B96" s="7" t="inlineStr">
        <is>
          <t>HIV/AIDS</t>
        </is>
      </c>
      <c r="C96" s="7" t="inlineStr">
        <is>
          <t>Care and treatment</t>
        </is>
      </c>
      <c r="D96" s="8" t="inlineStr">
        <is>
          <t>ART (First-Line Treatment) for women</t>
        </is>
      </c>
      <c r="E96" s="8" t="inlineStr">
        <is>
          <t>TAR - traitement de 1re ligne (femmes)</t>
        </is>
      </c>
      <c r="F96" s="7" t="inlineStr">
        <is>
          <t>HIV/AIDS</t>
        </is>
      </c>
      <c r="G96" s="7" t="inlineStr">
        <is>
          <t>Number of women needing ART</t>
        </is>
      </c>
      <c r="H96" s="7" t="n">
        <v>23473</v>
      </c>
      <c r="I96" s="7" t="inlineStr">
        <is>
          <t>Available - Uganda fallback</t>
        </is>
      </c>
      <c r="J96" s="7" t="inlineStr">
        <is>
          <t>Available - OHT Senegal ($2023)</t>
        </is>
      </c>
      <c r="K96" s="7" t="inlineStr">
        <is>
          <t>Available</t>
        </is>
      </c>
      <c r="L96" s="7" t="inlineStr">
        <is>
          <t>Yes</t>
        </is>
      </c>
      <c r="M96" s="9" t="inlineStr"/>
      <c r="N96" s="9" t="inlineStr"/>
      <c r="O96" s="9" t="inlineStr"/>
    </row>
    <row r="97">
      <c r="A97" s="7" t="n">
        <v>15</v>
      </c>
      <c r="B97" s="7" t="inlineStr">
        <is>
          <t>HIV/AIDS</t>
        </is>
      </c>
      <c r="C97" s="7" t="inlineStr">
        <is>
          <t>Prevention - Other</t>
        </is>
      </c>
      <c r="D97" s="8" t="inlineStr">
        <is>
          <t>PMTCT</t>
        </is>
      </c>
      <c r="E97" s="8" t="inlineStr">
        <is>
          <t>PTME (prévention de la transmission mère-enfant du VIH)</t>
        </is>
      </c>
      <c r="F97" s="7" t="inlineStr">
        <is>
          <t>HIV/AIDS</t>
        </is>
      </c>
      <c r="G97" s="7" t="inlineStr">
        <is>
          <t>Women in need of PMTCT</t>
        </is>
      </c>
      <c r="H97" s="7" t="n">
        <v>1343</v>
      </c>
      <c r="I97" s="7" t="inlineStr">
        <is>
          <t>Available - Uganda fallback</t>
        </is>
      </c>
      <c r="J97" s="7" t="inlineStr">
        <is>
          <t>Available - OHT Senegal ($2023)</t>
        </is>
      </c>
      <c r="K97" s="7" t="inlineStr">
        <is>
          <t>Available</t>
        </is>
      </c>
      <c r="L97" s="7" t="inlineStr">
        <is>
          <t>Yes</t>
        </is>
      </c>
      <c r="M97" s="9" t="inlineStr"/>
      <c r="N97" s="9" t="inlineStr"/>
      <c r="O97" s="9" t="inlineStr"/>
    </row>
    <row r="98">
      <c r="A98" s="7" t="n">
        <v>206</v>
      </c>
      <c r="B98" s="7" t="inlineStr">
        <is>
          <t>Non-communicable diseases</t>
        </is>
      </c>
      <c r="C98" s="7" t="inlineStr">
        <is>
          <t>CVD &amp; diabetes</t>
        </is>
      </c>
      <c r="D98" s="8" t="inlineStr">
        <is>
          <t>Treatment for those with absolute risk of CVD/diabetes 20-30%</t>
        </is>
      </c>
      <c r="E98" s="8" t="inlineStr">
        <is>
          <t>Traitement pour risque absolu CV/diabète 20-30 %</t>
        </is>
      </c>
      <c r="F98" s="7" t="inlineStr">
        <is>
          <t>Ischemic heart disease</t>
        </is>
      </c>
      <c r="G98" s="7" t="inlineStr">
        <is>
          <t>People with a 20-30% chance of developing CVD or diabetes</t>
        </is>
      </c>
      <c r="H98" s="7" t="n">
        <v>249685.759125</v>
      </c>
      <c r="I98" s="7" t="inlineStr">
        <is>
          <t>Available - Tufts (Ratios)</t>
        </is>
      </c>
      <c r="J98" s="7" t="inlineStr">
        <is>
          <t>Available - OHT Senegal ($2023)</t>
        </is>
      </c>
      <c r="K98" s="7" t="inlineStr">
        <is>
          <t>Available</t>
        </is>
      </c>
      <c r="L98" s="7" t="inlineStr">
        <is>
          <t>Yes</t>
        </is>
      </c>
      <c r="M98" s="9" t="inlineStr"/>
      <c r="N98" s="9" t="inlineStr"/>
      <c r="O98" s="9" t="inlineStr"/>
    </row>
    <row r="99">
      <c r="A99" s="7" t="n">
        <v>5</v>
      </c>
      <c r="B99" s="7" t="inlineStr">
        <is>
          <t>Child health</t>
        </is>
      </c>
      <c r="C99" s="7" t="inlineStr">
        <is>
          <t>Pneumonia</t>
        </is>
      </c>
      <c r="D99" s="8" t="inlineStr">
        <is>
          <t>Pneumonia treatment (children)</t>
        </is>
      </c>
      <c r="E99" s="8" t="inlineStr">
        <is>
          <t>Traitement de la pneumonie (enfants)</t>
        </is>
      </c>
      <c r="F99" s="7" t="inlineStr">
        <is>
          <t>Lower respiratory infections</t>
        </is>
      </c>
      <c r="G99" s="7" t="inlineStr">
        <is>
          <t>Children 1-59 months</t>
        </is>
      </c>
      <c r="H99" s="7" t="n">
        <v>3266761</v>
      </c>
      <c r="I99" s="7" t="inlineStr">
        <is>
          <t>Available - Uganda fallback</t>
        </is>
      </c>
      <c r="J99" s="7" t="inlineStr">
        <is>
          <t>Available - OHT Senegal ($2023)</t>
        </is>
      </c>
      <c r="K99" s="7" t="inlineStr">
        <is>
          <t>Available</t>
        </is>
      </c>
      <c r="L99" s="7" t="inlineStr">
        <is>
          <t>Yes</t>
        </is>
      </c>
      <c r="M99" s="9" t="inlineStr"/>
      <c r="N99" s="9" t="inlineStr"/>
      <c r="O99" s="9" t="inlineStr"/>
    </row>
    <row r="100">
      <c r="A100" s="7" t="n">
        <v>307</v>
      </c>
      <c r="B100" s="7" t="inlineStr">
        <is>
          <t>Nutrition</t>
        </is>
      </c>
      <c r="C100" s="7" t="inlineStr">
        <is>
          <t>Children</t>
        </is>
      </c>
      <c r="D100" s="8" t="inlineStr">
        <is>
          <t>Intermittent iron supplementation in children</t>
        </is>
      </c>
      <c r="E100" s="8" t="inlineStr">
        <is>
          <t>Supplémentation intermittente en fer chez l'enfant</t>
        </is>
      </c>
      <c r="F100" s="7" t="inlineStr">
        <is>
          <t>Dietary iron deficiency</t>
        </is>
      </c>
      <c r="G100" s="7" t="inlineStr">
        <is>
          <t>Children 2-12</t>
        </is>
      </c>
      <c r="H100" s="7" t="n">
        <v>5134316</v>
      </c>
      <c r="I100" s="7" t="inlineStr">
        <is>
          <t>Available - Tufts (Ratios)</t>
        </is>
      </c>
      <c r="J100" s="7" t="inlineStr">
        <is>
          <t>Available - OHT Senegal ($2023)</t>
        </is>
      </c>
      <c r="K100" s="7" t="inlineStr">
        <is>
          <t>Available</t>
        </is>
      </c>
      <c r="L100" s="7" t="inlineStr">
        <is>
          <t>Yes</t>
        </is>
      </c>
      <c r="M100" s="9" t="inlineStr"/>
      <c r="N100" s="9" t="inlineStr"/>
      <c r="O100" s="9" t="inlineStr"/>
    </row>
    <row r="101">
      <c r="A101" s="7" t="n">
        <v>109</v>
      </c>
      <c r="B101" s="7" t="inlineStr">
        <is>
          <t>Maternal/newborn and reproductive health</t>
        </is>
      </c>
      <c r="C101" s="7" t="inlineStr">
        <is>
          <t>Childbirth care - Other</t>
        </is>
      </c>
      <c r="D101" s="8" t="inlineStr">
        <is>
          <t>Antibiotics for preterm PROM</t>
        </is>
      </c>
      <c r="E101" s="8" t="inlineStr">
        <is>
          <t>Antibiotiques pour rupture prématurée des membranes</t>
        </is>
      </c>
      <c r="F101" s="7" t="inlineStr">
        <is>
          <t>Neonatal disorders</t>
        </is>
      </c>
      <c r="G101" s="7" t="inlineStr">
        <is>
          <t>Pregnancies carried to term</t>
        </is>
      </c>
      <c r="H101" s="7" t="n">
        <v>34312</v>
      </c>
      <c r="I101" s="7" t="inlineStr">
        <is>
          <t>Available - Uganda fallback</t>
        </is>
      </c>
      <c r="J101" s="7" t="inlineStr">
        <is>
          <t>Available - OHT Senegal ($2023)</t>
        </is>
      </c>
      <c r="K101" s="7" t="inlineStr">
        <is>
          <t>Available</t>
        </is>
      </c>
      <c r="L101" s="7" t="inlineStr">
        <is>
          <t>Yes</t>
        </is>
      </c>
      <c r="M101" s="9" t="inlineStr"/>
      <c r="N101" s="9" t="inlineStr"/>
      <c r="O101" s="9" t="inlineStr"/>
    </row>
    <row r="102">
      <c r="A102" s="7" t="n">
        <v>44</v>
      </c>
      <c r="B102" s="7" t="inlineStr">
        <is>
          <t>HIV/AIDS</t>
        </is>
      </c>
      <c r="C102" s="7" t="inlineStr">
        <is>
          <t>Collaborative HIV/AIDS and TB interventions</t>
        </is>
      </c>
      <c r="D102" s="8" t="inlineStr">
        <is>
          <t>Screen HIV+ cases for TB</t>
        </is>
      </c>
      <c r="E102" s="8" t="inlineStr">
        <is>
          <t>Dépistage de la TB chez les personnes VIH+</t>
        </is>
      </c>
      <c r="F102" s="7" t="inlineStr">
        <is>
          <t>HIV/AIDS</t>
        </is>
      </c>
      <c r="G102" s="7" t="inlineStr">
        <is>
          <t>Number of people who are HIV+</t>
        </is>
      </c>
      <c r="H102" s="7" t="n">
        <v>45073</v>
      </c>
      <c r="I102" s="7" t="inlineStr">
        <is>
          <t>Available - Tufts (Ratios)</t>
        </is>
      </c>
      <c r="J102" s="7" t="inlineStr">
        <is>
          <t>Available - OHT Senegal ($2023)</t>
        </is>
      </c>
      <c r="K102" s="7" t="inlineStr">
        <is>
          <t>Available</t>
        </is>
      </c>
      <c r="L102" s="7" t="inlineStr">
        <is>
          <t>Yes</t>
        </is>
      </c>
      <c r="M102" s="9" t="inlineStr"/>
      <c r="N102" s="9" t="inlineStr"/>
      <c r="O102" s="9" t="inlineStr"/>
    </row>
    <row r="103">
      <c r="A103" s="7" t="n">
        <v>108</v>
      </c>
      <c r="B103" s="7" t="inlineStr">
        <is>
          <t>Maternal/newborn and reproductive health</t>
        </is>
      </c>
      <c r="C103" s="7" t="inlineStr">
        <is>
          <t>Childbirth care - Other</t>
        </is>
      </c>
      <c r="D103" s="8" t="inlineStr">
        <is>
          <t>Antenatal corticosteroids for preterm labor</t>
        </is>
      </c>
      <c r="E103" s="8" t="inlineStr">
        <is>
          <t>Corticothérapie anténatale pour travail prématuré</t>
        </is>
      </c>
      <c r="F103" s="7" t="inlineStr">
        <is>
          <t>Neonatal disorders</t>
        </is>
      </c>
      <c r="G103" s="7" t="inlineStr">
        <is>
          <t>Pregnancies carried to term</t>
        </is>
      </c>
      <c r="H103" s="7" t="n">
        <v>37924</v>
      </c>
      <c r="I103" s="7" t="inlineStr">
        <is>
          <t>Available - Tufts (Ratios)</t>
        </is>
      </c>
      <c r="J103" s="7" t="inlineStr">
        <is>
          <t>Available - OHT Senegal ($2023)</t>
        </is>
      </c>
      <c r="K103" s="7" t="inlineStr">
        <is>
          <t>Available</t>
        </is>
      </c>
      <c r="L103" s="7" t="inlineStr">
        <is>
          <t>Yes</t>
        </is>
      </c>
      <c r="M103" s="9" t="inlineStr"/>
      <c r="N103" s="9" t="inlineStr"/>
      <c r="O103" s="9" t="inlineStr"/>
    </row>
    <row r="104">
      <c r="A104" s="7" t="n">
        <v>298</v>
      </c>
      <c r="B104" s="7" t="inlineStr">
        <is>
          <t>Nutrition</t>
        </is>
      </c>
      <c r="C104" s="7" t="inlineStr">
        <is>
          <t>Pregnant and lactating women</t>
        </is>
      </c>
      <c r="D104" s="8" t="inlineStr">
        <is>
          <t>Intermittent iron and folic acid supplementation (non-anaemic pregnant women)</t>
        </is>
      </c>
      <c r="E104" s="8" t="inlineStr">
        <is>
          <t>Supplémentation intermittente en fer-folates (femmes enceintes non anémiques)</t>
        </is>
      </c>
      <c r="F104" s="7" t="inlineStr">
        <is>
          <t>Dietary iron deficiency</t>
        </is>
      </c>
      <c r="G104" s="7" t="inlineStr">
        <is>
          <t>Pregnant women</t>
        </is>
      </c>
      <c r="H104" s="7" t="n">
        <v>294461</v>
      </c>
      <c r="I104" s="7" t="inlineStr">
        <is>
          <t>Available - Tufts (Ratios)</t>
        </is>
      </c>
      <c r="J104" s="7" t="inlineStr">
        <is>
          <t>Available - OHT Senegal ($2023)</t>
        </is>
      </c>
      <c r="K104" s="7" t="inlineStr">
        <is>
          <t>Available</t>
        </is>
      </c>
      <c r="L104" s="7" t="inlineStr">
        <is>
          <t>Yes</t>
        </is>
      </c>
      <c r="M104" s="9" t="inlineStr"/>
      <c r="N104" s="9" t="inlineStr"/>
      <c r="O104" s="9" t="inlineStr"/>
    </row>
    <row r="105">
      <c r="A105" s="7" t="n">
        <v>54</v>
      </c>
      <c r="B105" s="7" t="inlineStr">
        <is>
          <t>Immunization</t>
        </is>
      </c>
      <c r="C105" s="7" t="inlineStr">
        <is>
          <t>Immunization</t>
        </is>
      </c>
      <c r="D105" s="8" t="inlineStr">
        <is>
          <t>Rotavirus vaccine</t>
        </is>
      </c>
      <c r="E105" s="8" t="inlineStr">
        <is>
          <t>Vaccin rotavirus</t>
        </is>
      </c>
      <c r="F105" s="7" t="inlineStr">
        <is>
          <t>Diarrheal diseases</t>
        </is>
      </c>
      <c r="G105" s="7" t="inlineStr">
        <is>
          <t>Infants surviving past one month</t>
        </is>
      </c>
      <c r="H105" s="7" t="n">
        <v>520747</v>
      </c>
      <c r="I105" s="7" t="inlineStr">
        <is>
          <t>Available - Uganda fallback</t>
        </is>
      </c>
      <c r="J105" s="7" t="inlineStr">
        <is>
          <t>Available - OHT Senegal ($2023)</t>
        </is>
      </c>
      <c r="K105" s="7" t="inlineStr">
        <is>
          <t>Available</t>
        </is>
      </c>
      <c r="L105" s="7" t="inlineStr">
        <is>
          <t>Yes</t>
        </is>
      </c>
      <c r="M105" s="9" t="inlineStr"/>
      <c r="N105" s="9" t="inlineStr"/>
      <c r="O105" s="9" t="inlineStr"/>
    </row>
    <row r="106">
      <c r="A106" s="7" t="n">
        <v>11</v>
      </c>
      <c r="B106" s="7" t="inlineStr">
        <is>
          <t>Child health</t>
        </is>
      </c>
      <c r="C106" s="7" t="inlineStr">
        <is>
          <t>Diarrhea management</t>
        </is>
      </c>
      <c r="D106" s="8" t="inlineStr">
        <is>
          <t>Treatment of severe diarrhea</t>
        </is>
      </c>
      <c r="E106" s="8" t="inlineStr">
        <is>
          <t>Traitement de la diarrhée sévère</t>
        </is>
      </c>
      <c r="F106" s="7" t="inlineStr">
        <is>
          <t>Diarrheal diseases</t>
        </is>
      </c>
      <c r="G106" s="7" t="inlineStr">
        <is>
          <t>Children 1-59 months</t>
        </is>
      </c>
      <c r="H106" s="7" t="n">
        <v>173867</v>
      </c>
      <c r="I106" s="7" t="inlineStr">
        <is>
          <t>Available - Tufts (Ratios)</t>
        </is>
      </c>
      <c r="J106" s="7" t="inlineStr">
        <is>
          <t>Available - OHT Senegal ($2023)</t>
        </is>
      </c>
      <c r="K106" s="7" t="inlineStr">
        <is>
          <t>Available</t>
        </is>
      </c>
      <c r="L106" s="7" t="inlineStr">
        <is>
          <t>Yes</t>
        </is>
      </c>
      <c r="M106" s="9" t="inlineStr"/>
      <c r="N106" s="9" t="inlineStr"/>
      <c r="O106" s="9" t="inlineStr"/>
    </row>
    <row r="107">
      <c r="A107" s="7" t="n">
        <v>13</v>
      </c>
      <c r="B107" s="7" t="inlineStr">
        <is>
          <t>Child health</t>
        </is>
      </c>
      <c r="C107" s="7" t="inlineStr">
        <is>
          <t>Malaria</t>
        </is>
      </c>
      <c r="D107" s="8" t="inlineStr">
        <is>
          <t>Treatment of severe malaria (children 0-4)</t>
        </is>
      </c>
      <c r="E107" s="8" t="inlineStr">
        <is>
          <t>Traitement du paludisme sévère (enfants 0-4 ans)</t>
        </is>
      </c>
      <c r="F107" s="7" t="inlineStr">
        <is>
          <t>Malaria</t>
        </is>
      </c>
      <c r="G107" s="7" t="inlineStr">
        <is>
          <t>Children 0-59 months</t>
        </is>
      </c>
      <c r="H107" s="7" t="n">
        <v>148724.112</v>
      </c>
      <c r="I107" s="7" t="inlineStr">
        <is>
          <t>Available - Tufts (Ratios)</t>
        </is>
      </c>
      <c r="J107" s="7" t="inlineStr">
        <is>
          <t>Available - OHT Senegal ($2023)</t>
        </is>
      </c>
      <c r="K107" s="7" t="inlineStr">
        <is>
          <t>Available</t>
        </is>
      </c>
      <c r="L107" s="7" t="inlineStr">
        <is>
          <t>Yes</t>
        </is>
      </c>
      <c r="M107" s="9" t="inlineStr"/>
      <c r="N107" s="9" t="inlineStr"/>
      <c r="O107" s="9" t="inlineStr"/>
    </row>
    <row r="108">
      <c r="A108" s="7" t="n">
        <v>33</v>
      </c>
      <c r="B108" s="7" t="inlineStr">
        <is>
          <t>HIV/AIDS</t>
        </is>
      </c>
      <c r="C108" s="7" t="inlineStr">
        <is>
          <t>Prevention - Other</t>
        </is>
      </c>
      <c r="D108" s="8" t="inlineStr">
        <is>
          <t>Male circumcision</t>
        </is>
      </c>
      <c r="E108" s="8" t="inlineStr">
        <is>
          <t>Circoncision masculine</t>
        </is>
      </c>
      <c r="F108" s="7" t="inlineStr">
        <is>
          <t>HIV/AIDS</t>
        </is>
      </c>
      <c r="G108" s="7" t="inlineStr">
        <is>
          <t>Men 15-49</t>
        </is>
      </c>
      <c r="H108" s="7" t="n">
        <v>463669.9</v>
      </c>
      <c r="I108" s="7" t="inlineStr">
        <is>
          <t>Available - Uganda fallback</t>
        </is>
      </c>
      <c r="J108" s="7" t="inlineStr">
        <is>
          <t>Available - OHT Senegal ($2023)</t>
        </is>
      </c>
      <c r="K108" s="7" t="inlineStr">
        <is>
          <t>Available</t>
        </is>
      </c>
      <c r="L108" s="7" t="inlineStr">
        <is>
          <t>Yes</t>
        </is>
      </c>
      <c r="M108" s="9" t="inlineStr"/>
      <c r="N108" s="9" t="inlineStr"/>
      <c r="O108" s="9" t="inlineStr"/>
    </row>
    <row r="109">
      <c r="A109" s="7" t="n">
        <v>89</v>
      </c>
      <c r="B109" s="7" t="inlineStr">
        <is>
          <t>Maternal/newborn and reproductive health</t>
        </is>
      </c>
      <c r="C109" s="7" t="inlineStr">
        <is>
          <t>Family planning</t>
        </is>
      </c>
      <c r="D109" s="8" t="inlineStr">
        <is>
          <t>Female sterilization</t>
        </is>
      </c>
      <c r="E109" s="8" t="inlineStr">
        <is>
          <t>Stérilisation féminine (ligature des trompes)</t>
        </is>
      </c>
      <c r="F109" s="7" t="inlineStr">
        <is>
          <t>Maternal disorders</t>
        </is>
      </c>
      <c r="G109" s="7" t="inlineStr">
        <is>
          <t>Women of reproductive age in union</t>
        </is>
      </c>
      <c r="H109" s="7" t="n">
        <v>341134</v>
      </c>
      <c r="I109" s="7" t="inlineStr">
        <is>
          <t>Missing</t>
        </is>
      </c>
      <c r="J109" s="7" t="inlineStr">
        <is>
          <t>Available - OHT Senegal ($2023)</t>
        </is>
      </c>
      <c r="K109" s="7" t="inlineStr">
        <is>
          <t>Available</t>
        </is>
      </c>
      <c r="L109" s="7" t="inlineStr">
        <is>
          <t>No</t>
        </is>
      </c>
      <c r="M109" s="9" t="inlineStr"/>
      <c r="N109" s="9" t="inlineStr"/>
      <c r="O109" s="9" t="inlineStr"/>
    </row>
    <row r="110">
      <c r="A110" s="7" t="n">
        <v>286</v>
      </c>
      <c r="B110" s="7" t="inlineStr">
        <is>
          <t>Nutrition</t>
        </is>
      </c>
      <c r="C110" s="7" t="inlineStr">
        <is>
          <t>Pregnant and lactating women</t>
        </is>
      </c>
      <c r="D110" s="8" t="inlineStr">
        <is>
          <t>Daily iron and folic acid supplementation (pregnant women)</t>
        </is>
      </c>
      <c r="E110" s="8" t="inlineStr">
        <is>
          <t>Supplémentation quotidienne en fer et acide folique (femmes enceintes)</t>
        </is>
      </c>
      <c r="F110" s="7" t="inlineStr">
        <is>
          <t>Dietary iron deficiency</t>
        </is>
      </c>
      <c r="G110" s="7" t="inlineStr">
        <is>
          <t>Pregnant women</t>
        </is>
      </c>
      <c r="H110" s="7" t="n">
        <v>686388</v>
      </c>
      <c r="I110" s="7" t="inlineStr">
        <is>
          <t>Available - Tufts (Ratios)</t>
        </is>
      </c>
      <c r="J110" s="7" t="inlineStr">
        <is>
          <t>Available - OHT Senegal ($2023)</t>
        </is>
      </c>
      <c r="K110" s="7" t="inlineStr">
        <is>
          <t>Available</t>
        </is>
      </c>
      <c r="L110" s="7" t="inlineStr">
        <is>
          <t>Yes</t>
        </is>
      </c>
      <c r="M110" s="9" t="inlineStr"/>
      <c r="N110" s="9" t="inlineStr"/>
      <c r="O110" s="9" t="inlineStr"/>
    </row>
    <row r="111">
      <c r="A111" s="7" t="n">
        <v>118</v>
      </c>
      <c r="B111" s="7" t="inlineStr">
        <is>
          <t>Maternal/newborn and reproductive health</t>
        </is>
      </c>
      <c r="C111" s="7" t="inlineStr">
        <is>
          <t>Childbirth care - Other</t>
        </is>
      </c>
      <c r="D111" s="8" t="inlineStr">
        <is>
          <t>Induction of labor for pregnancies lasting 41+ weeks</t>
        </is>
      </c>
      <c r="E111" s="8" t="inlineStr">
        <is>
          <t>Déclenchement du travail pour grossesse prolongée (41+ semaines)</t>
        </is>
      </c>
      <c r="F111" s="7" t="inlineStr">
        <is>
          <t>Maternal disorders</t>
        </is>
      </c>
      <c r="G111" s="7" t="inlineStr">
        <is>
          <t>Pregnancies carried to term</t>
        </is>
      </c>
      <c r="H111" s="7" t="n">
        <v>23838</v>
      </c>
      <c r="I111" s="7" t="inlineStr">
        <is>
          <t>Available - Uganda fallback</t>
        </is>
      </c>
      <c r="J111" s="7" t="inlineStr">
        <is>
          <t>Available - OHT Senegal ($2023)</t>
        </is>
      </c>
      <c r="K111" s="7" t="inlineStr">
        <is>
          <t>Available</t>
        </is>
      </c>
      <c r="L111" s="7" t="inlineStr">
        <is>
          <t>Yes</t>
        </is>
      </c>
      <c r="M111" s="9" t="inlineStr"/>
      <c r="N111" s="9" t="inlineStr"/>
      <c r="O111" s="9" t="inlineStr"/>
    </row>
    <row r="112">
      <c r="A112" s="7" t="n">
        <v>2</v>
      </c>
      <c r="B112" s="7" t="inlineStr">
        <is>
          <t>Child health</t>
        </is>
      </c>
      <c r="C112" s="7" t="inlineStr">
        <is>
          <t>Diarrhea management</t>
        </is>
      </c>
      <c r="D112" s="8" t="inlineStr">
        <is>
          <t>ORS</t>
        </is>
      </c>
      <c r="E112" s="8" t="inlineStr">
        <is>
          <t>SRO (sels de réhydratation orale)</t>
        </is>
      </c>
      <c r="F112" s="7" t="inlineStr">
        <is>
          <t>Diarrheal diseases</t>
        </is>
      </c>
      <c r="G112" s="7" t="inlineStr">
        <is>
          <t>Children 0-59 months</t>
        </is>
      </c>
      <c r="H112" s="7" t="n">
        <v>7138500</v>
      </c>
      <c r="I112" s="7" t="inlineStr">
        <is>
          <t>Available - Uganda fallback</t>
        </is>
      </c>
      <c r="J112" s="7" t="inlineStr">
        <is>
          <t>Available - OHT Senegal ($2023)</t>
        </is>
      </c>
      <c r="K112" s="7" t="inlineStr">
        <is>
          <t>Available</t>
        </is>
      </c>
      <c r="L112" s="7" t="inlineStr">
        <is>
          <t>Yes</t>
        </is>
      </c>
      <c r="M112" s="9" t="inlineStr"/>
      <c r="N112" s="9" t="inlineStr"/>
      <c r="O112" s="9" t="inlineStr"/>
    </row>
    <row r="113">
      <c r="A113" s="7" t="n">
        <v>4</v>
      </c>
      <c r="B113" s="7" t="inlineStr">
        <is>
          <t>Child health</t>
        </is>
      </c>
      <c r="C113" s="7" t="inlineStr">
        <is>
          <t>Diarrhea management</t>
        </is>
      </c>
      <c r="D113" s="8" t="inlineStr">
        <is>
          <t>Zinc (diarrhea treatment)</t>
        </is>
      </c>
      <c r="E113" s="8" t="inlineStr">
        <is>
          <t>Zinc (traitement de la diarrhée)</t>
        </is>
      </c>
      <c r="F113" s="7" t="inlineStr">
        <is>
          <t>Diarrheal diseases</t>
        </is>
      </c>
      <c r="G113" s="7" t="inlineStr">
        <is>
          <t>Children 0-59 months</t>
        </is>
      </c>
      <c r="H113" s="7" t="n">
        <v>8111932</v>
      </c>
      <c r="I113" s="7" t="inlineStr">
        <is>
          <t>Available - Uganda fallback</t>
        </is>
      </c>
      <c r="J113" s="7" t="inlineStr">
        <is>
          <t>Available - OHT Senegal ($2023)</t>
        </is>
      </c>
      <c r="K113" s="7" t="inlineStr">
        <is>
          <t>Available</t>
        </is>
      </c>
      <c r="L113" s="7" t="inlineStr">
        <is>
          <t>Yes</t>
        </is>
      </c>
      <c r="M113" s="9" t="inlineStr"/>
      <c r="N113" s="9" t="inlineStr"/>
      <c r="O113" s="9" t="inlineStr"/>
    </row>
    <row r="114">
      <c r="A114" s="7" t="n">
        <v>285</v>
      </c>
      <c r="B114" s="7" t="inlineStr">
        <is>
          <t>Nutrition</t>
        </is>
      </c>
      <c r="C114" s="7" t="inlineStr">
        <is>
          <t>Pregnant and lactating women</t>
        </is>
      </c>
      <c r="D114" s="8" t="inlineStr">
        <is>
          <t>Calcium supplementation for prevention and treatment of pre-eclampsia and eclampsia</t>
        </is>
      </c>
      <c r="E114" s="8" t="inlineStr">
        <is>
          <t>Supplémentation calcique pour la prévention et le traitement de la pré-éclampsie/éclampsie</t>
        </is>
      </c>
      <c r="F114" s="7" t="inlineStr">
        <is>
          <t>Maternal disorders</t>
        </is>
      </c>
      <c r="G114" s="7" t="inlineStr">
        <is>
          <t>Pregnant women</t>
        </is>
      </c>
      <c r="H114" s="7" t="n">
        <v>686388</v>
      </c>
      <c r="I114" s="7" t="inlineStr">
        <is>
          <t>Available - Tufts (Ratios)</t>
        </is>
      </c>
      <c r="J114" s="7" t="inlineStr">
        <is>
          <t>Available - OHT Senegal ($2023)</t>
        </is>
      </c>
      <c r="K114" s="7" t="inlineStr">
        <is>
          <t>Available</t>
        </is>
      </c>
      <c r="L114" s="7" t="inlineStr">
        <is>
          <t>Yes</t>
        </is>
      </c>
      <c r="M114" s="9" t="inlineStr"/>
      <c r="N114" s="9" t="inlineStr"/>
      <c r="O114" s="9" t="inlineStr"/>
    </row>
    <row r="115">
      <c r="A115" s="7" t="n">
        <v>84</v>
      </c>
      <c r="B115" s="7" t="inlineStr">
        <is>
          <t>Maternal/newborn and reproductive health</t>
        </is>
      </c>
      <c r="C115" s="7" t="inlineStr">
        <is>
          <t>Family planning</t>
        </is>
      </c>
      <c r="D115" s="8" t="inlineStr">
        <is>
          <t>IUD - Copper-T 380-A IUD (10 years)</t>
        </is>
      </c>
      <c r="E115" s="8" t="inlineStr">
        <is>
          <t>DIU au cuivre T380-A (10 ans)</t>
        </is>
      </c>
      <c r="F115" s="7" t="inlineStr">
        <is>
          <t>Maternal disorders</t>
        </is>
      </c>
      <c r="G115" s="7" t="inlineStr">
        <is>
          <t>Women of reproductive age in union</t>
        </is>
      </c>
      <c r="H115" s="7" t="n">
        <v>704685</v>
      </c>
      <c r="I115" s="7" t="inlineStr">
        <is>
          <t>Missing</t>
        </is>
      </c>
      <c r="J115" s="7" t="inlineStr">
        <is>
          <t>Available - OHT Senegal ($2023)</t>
        </is>
      </c>
      <c r="K115" s="7" t="inlineStr">
        <is>
          <t>Available</t>
        </is>
      </c>
      <c r="L115" s="7" t="inlineStr">
        <is>
          <t>No</t>
        </is>
      </c>
      <c r="M115" s="9" t="inlineStr"/>
      <c r="N115" s="9" t="inlineStr"/>
      <c r="O115" s="9" t="inlineStr"/>
    </row>
    <row r="116">
      <c r="A116" s="7" t="n">
        <v>3</v>
      </c>
      <c r="B116" s="7" t="inlineStr">
        <is>
          <t>Child health</t>
        </is>
      </c>
      <c r="C116" s="7" t="inlineStr">
        <is>
          <t>Diarrhea management</t>
        </is>
      </c>
      <c r="D116" s="8" t="inlineStr">
        <is>
          <t>Antibiotics for treatment of dysentery</t>
        </is>
      </c>
      <c r="E116" s="8" t="inlineStr">
        <is>
          <t>Antibiotiques pour le traitement de la dysenterie</t>
        </is>
      </c>
      <c r="F116" s="7" t="inlineStr">
        <is>
          <t>Diarrheal diseases</t>
        </is>
      </c>
      <c r="G116" s="7" t="inlineStr">
        <is>
          <t>Children 0-59 months</t>
        </is>
      </c>
      <c r="H116" s="7" t="n">
        <v>973432</v>
      </c>
      <c r="I116" s="7" t="inlineStr">
        <is>
          <t>Available - Uganda fallback</t>
        </is>
      </c>
      <c r="J116" s="7" t="inlineStr">
        <is>
          <t>Available - OHT Senegal ($2023)</t>
        </is>
      </c>
      <c r="K116" s="7" t="inlineStr">
        <is>
          <t>Available</t>
        </is>
      </c>
      <c r="L116" s="7" t="inlineStr">
        <is>
          <t>Yes</t>
        </is>
      </c>
      <c r="M116" s="9" t="inlineStr"/>
      <c r="N116" s="9" t="inlineStr"/>
      <c r="O116" s="9" t="inlineStr"/>
    </row>
    <row r="117">
      <c r="A117" s="7" t="n">
        <v>86</v>
      </c>
      <c r="B117" s="7" t="inlineStr">
        <is>
          <t>Maternal/newborn and reproductive health</t>
        </is>
      </c>
      <c r="C117" s="7" t="inlineStr">
        <is>
          <t>Family planning</t>
        </is>
      </c>
      <c r="D117" s="8" t="inlineStr">
        <is>
          <t>Implant - Jadelle (5 years)</t>
        </is>
      </c>
      <c r="E117" s="8" t="inlineStr">
        <is>
          <t>Implant Jadelle (5 ans)</t>
        </is>
      </c>
      <c r="F117" s="7" t="inlineStr">
        <is>
          <t>Maternal disorders</t>
        </is>
      </c>
      <c r="G117" s="7" t="inlineStr">
        <is>
          <t>Women of reproductive age in union</t>
        </is>
      </c>
      <c r="H117" s="7" t="n">
        <v>835662</v>
      </c>
      <c r="I117" s="7" t="inlineStr">
        <is>
          <t>Missing</t>
        </is>
      </c>
      <c r="J117" s="7" t="inlineStr">
        <is>
          <t>Available - OHT Senegal ($2023)</t>
        </is>
      </c>
      <c r="K117" s="7" t="inlineStr">
        <is>
          <t>Available</t>
        </is>
      </c>
      <c r="L117" s="7" t="inlineStr">
        <is>
          <t>No</t>
        </is>
      </c>
      <c r="M117" s="9" t="inlineStr"/>
      <c r="N117" s="9" t="inlineStr"/>
      <c r="O117" s="9" t="inlineStr"/>
    </row>
    <row r="118">
      <c r="A118" s="7" t="n">
        <v>8</v>
      </c>
      <c r="B118" s="7" t="inlineStr">
        <is>
          <t>Child health</t>
        </is>
      </c>
      <c r="C118" s="7" t="inlineStr">
        <is>
          <t>Malaria</t>
        </is>
      </c>
      <c r="D118" s="8" t="inlineStr">
        <is>
          <t>Malaria treatment (children 0-4)</t>
        </is>
      </c>
      <c r="E118" s="8" t="inlineStr">
        <is>
          <t>Traitement du paludisme (enfants 0-4 ans)</t>
        </is>
      </c>
      <c r="F118" s="7" t="inlineStr">
        <is>
          <t>Malaria</t>
        </is>
      </c>
      <c r="G118" s="7" t="inlineStr">
        <is>
          <t>Children 0-59 months</t>
        </is>
      </c>
      <c r="H118" s="7" t="n">
        <v>9832645</v>
      </c>
      <c r="I118" s="7" t="inlineStr">
        <is>
          <t>Available - Tufts (Ratios)</t>
        </is>
      </c>
      <c r="J118" s="7" t="inlineStr">
        <is>
          <t>Available - OHT Senegal ($2023)</t>
        </is>
      </c>
      <c r="K118" s="7" t="inlineStr">
        <is>
          <t>Available</t>
        </is>
      </c>
      <c r="L118" s="7" t="inlineStr">
        <is>
          <t>Yes</t>
        </is>
      </c>
      <c r="M118" s="9" t="inlineStr"/>
      <c r="N118" s="9" t="inlineStr"/>
      <c r="O118" s="9" t="inlineStr"/>
    </row>
    <row r="119">
      <c r="A119" s="7" t="n">
        <v>103</v>
      </c>
      <c r="B119" s="7" t="inlineStr">
        <is>
          <t>Maternal/newborn and reproductive health</t>
        </is>
      </c>
      <c r="C119" s="7" t="inlineStr">
        <is>
          <t>Postpartum care - Other</t>
        </is>
      </c>
      <c r="D119" s="8" t="inlineStr">
        <is>
          <t>Chlorhexidine</t>
        </is>
      </c>
      <c r="E119" s="8" t="inlineStr">
        <is>
          <t>Chlorhexidine (soin du cordon ombilical)</t>
        </is>
      </c>
      <c r="F119" s="7" t="inlineStr">
        <is>
          <t>Neonatal disorders</t>
        </is>
      </c>
      <c r="G119" s="7" t="inlineStr">
        <is>
          <t>Live births</t>
        </is>
      </c>
      <c r="H119" s="7" t="n">
        <v>531616</v>
      </c>
      <c r="I119" s="7" t="inlineStr">
        <is>
          <t>Available - Uganda fallback</t>
        </is>
      </c>
      <c r="J119" s="7" t="inlineStr">
        <is>
          <t>Available - OHT Senegal ($2023)</t>
        </is>
      </c>
      <c r="K119" s="7" t="inlineStr">
        <is>
          <t>Available</t>
        </is>
      </c>
      <c r="L119" s="7" t="inlineStr">
        <is>
          <t>Yes</t>
        </is>
      </c>
      <c r="M119" s="9" t="inlineStr"/>
      <c r="N119" s="9" t="inlineStr"/>
      <c r="O119" s="9" t="inlineStr"/>
    </row>
    <row r="120">
      <c r="A120" s="7" t="n">
        <v>74</v>
      </c>
      <c r="B120" s="7" t="inlineStr">
        <is>
          <t>Maternal/newborn and reproductive health</t>
        </is>
      </c>
      <c r="C120" s="7" t="inlineStr">
        <is>
          <t>Family planning</t>
        </is>
      </c>
      <c r="D120" s="8" t="inlineStr">
        <is>
          <t>Pill - Standard daily regimen</t>
        </is>
      </c>
      <c r="E120" s="8" t="inlineStr">
        <is>
          <t>Pilule - schéma quotidien standard</t>
        </is>
      </c>
      <c r="F120" s="7" t="inlineStr">
        <is>
          <t>Maternal disorders</t>
        </is>
      </c>
      <c r="G120" s="7" t="inlineStr">
        <is>
          <t>Women of reproductive age in union</t>
        </is>
      </c>
      <c r="H120" s="7" t="n">
        <v>2943975</v>
      </c>
      <c r="I120" s="7" t="inlineStr">
        <is>
          <t>Missing</t>
        </is>
      </c>
      <c r="J120" s="7" t="inlineStr">
        <is>
          <t>Available - OHT Senegal ($2023)</t>
        </is>
      </c>
      <c r="K120" s="7" t="inlineStr">
        <is>
          <t>Available</t>
        </is>
      </c>
      <c r="L120" s="7" t="inlineStr">
        <is>
          <t>No</t>
        </is>
      </c>
      <c r="M120" s="9" t="inlineStr"/>
      <c r="N120" s="9" t="inlineStr"/>
      <c r="O120" s="9" t="inlineStr"/>
    </row>
    <row r="121">
      <c r="A121" s="7" t="n">
        <v>79</v>
      </c>
      <c r="B121" s="7" t="inlineStr">
        <is>
          <t>Maternal/newborn and reproductive health</t>
        </is>
      </c>
      <c r="C121" s="7" t="inlineStr">
        <is>
          <t>Family planning</t>
        </is>
      </c>
      <c r="D121" s="8" t="inlineStr">
        <is>
          <t>Injectable - 3 month (Depo Provera)</t>
        </is>
      </c>
      <c r="E121" s="8" t="inlineStr">
        <is>
          <t>Injectable - 3 mois (Depo Provera)</t>
        </is>
      </c>
      <c r="F121" s="7" t="inlineStr">
        <is>
          <t>Maternal disorders</t>
        </is>
      </c>
      <c r="G121" s="7" t="inlineStr">
        <is>
          <t>Women of reproductive age in union</t>
        </is>
      </c>
      <c r="H121" s="7" t="n">
        <v>2943975</v>
      </c>
      <c r="I121" s="7" t="inlineStr">
        <is>
          <t>Missing</t>
        </is>
      </c>
      <c r="J121" s="7" t="inlineStr">
        <is>
          <t>Available - OHT Senegal ($2023)</t>
        </is>
      </c>
      <c r="K121" s="7" t="inlineStr">
        <is>
          <t>Available</t>
        </is>
      </c>
      <c r="L121" s="7" t="inlineStr">
        <is>
          <t>No</t>
        </is>
      </c>
      <c r="M121" s="9" t="inlineStr"/>
      <c r="N121" s="9" t="inlineStr"/>
      <c r="O121" s="9" t="inlineStr"/>
    </row>
    <row r="122">
      <c r="A122" s="7" t="n">
        <v>90</v>
      </c>
      <c r="B122" s="7" t="inlineStr">
        <is>
          <t>Maternal/newborn and reproductive health</t>
        </is>
      </c>
      <c r="C122" s="7" t="inlineStr">
        <is>
          <t>Family planning</t>
        </is>
      </c>
      <c r="D122" s="8" t="inlineStr">
        <is>
          <t>Male sterilization</t>
        </is>
      </c>
      <c r="E122" s="8" t="inlineStr">
        <is>
          <t>Stérilisation masculine (vasectomie)</t>
        </is>
      </c>
      <c r="F122" s="7" t="inlineStr">
        <is>
          <t>Maternal disorders</t>
        </is>
      </c>
      <c r="G122" s="7" t="inlineStr">
        <is>
          <t>Women of reproductive age in union</t>
        </is>
      </c>
      <c r="H122" s="7" t="n">
        <v>2943975</v>
      </c>
      <c r="I122" s="7" t="inlineStr">
        <is>
          <t>Missing</t>
        </is>
      </c>
      <c r="J122" s="7" t="inlineStr">
        <is>
          <t>Available - OHT Senegal ($2023)</t>
        </is>
      </c>
      <c r="K122" s="7" t="inlineStr">
        <is>
          <t>Available</t>
        </is>
      </c>
      <c r="L122" s="7" t="inlineStr">
        <is>
          <t>No</t>
        </is>
      </c>
      <c r="M122" s="9" t="inlineStr"/>
      <c r="N122" s="9" t="inlineStr"/>
      <c r="O122" s="9" t="inlineStr"/>
    </row>
    <row r="123">
      <c r="A123" s="7" t="n">
        <v>53</v>
      </c>
      <c r="B123" s="7" t="inlineStr">
        <is>
          <t>Immunization</t>
        </is>
      </c>
      <c r="C123" s="7" t="inlineStr">
        <is>
          <t>Immunization</t>
        </is>
      </c>
      <c r="D123" s="8" t="inlineStr">
        <is>
          <t>Pneumococcal vaccine</t>
        </is>
      </c>
      <c r="E123" s="8" t="inlineStr">
        <is>
          <t>Vaccin pneumococcique</t>
        </is>
      </c>
      <c r="F123" s="7" t="inlineStr">
        <is>
          <t>Lower respiratory infections</t>
        </is>
      </c>
      <c r="G123" s="7" t="inlineStr">
        <is>
          <t>Infants surviving past one month</t>
        </is>
      </c>
      <c r="H123" s="7" t="n">
        <v>520747</v>
      </c>
      <c r="I123" s="7" t="inlineStr">
        <is>
          <t>Available - Uganda fallback</t>
        </is>
      </c>
      <c r="J123" s="7" t="inlineStr">
        <is>
          <t>Available - OHT Senegal ($2023)</t>
        </is>
      </c>
      <c r="K123" s="7" t="inlineStr">
        <is>
          <t>Available</t>
        </is>
      </c>
      <c r="L123" s="7" t="inlineStr">
        <is>
          <t>Yes</t>
        </is>
      </c>
      <c r="M123" s="9" t="inlineStr"/>
      <c r="N123" s="9" t="inlineStr"/>
      <c r="O123" s="9" t="inlineStr"/>
    </row>
    <row r="124">
      <c r="A124" s="7" t="n">
        <v>111</v>
      </c>
      <c r="B124" s="7" t="inlineStr">
        <is>
          <t>Maternal/newborn and reproductive health</t>
        </is>
      </c>
      <c r="C124" s="7" t="inlineStr">
        <is>
          <t>Childbirth care - Facility births</t>
        </is>
      </c>
      <c r="D124" s="8" t="inlineStr">
        <is>
          <t>Uterotonics for postpartum hemorrhage</t>
        </is>
      </c>
      <c r="E124" s="8" t="inlineStr">
        <is>
          <t>Utérotoniques pour l'hémorragie du post-partum</t>
        </is>
      </c>
      <c r="F124" s="7" t="inlineStr">
        <is>
          <t>Maternal disorders</t>
        </is>
      </c>
      <c r="G124" s="7" t="inlineStr">
        <is>
          <t>Pregnancies carried to term</t>
        </is>
      </c>
      <c r="H124" s="7" t="n">
        <v>541773</v>
      </c>
      <c r="I124" s="7" t="inlineStr">
        <is>
          <t>Available - Uganda fallback</t>
        </is>
      </c>
      <c r="J124" s="7" t="inlineStr">
        <is>
          <t>Available - OHT Senegal ($2023)</t>
        </is>
      </c>
      <c r="K124" s="7" t="inlineStr">
        <is>
          <t>Available</t>
        </is>
      </c>
      <c r="L124" s="7" t="inlineStr">
        <is>
          <t>Yes</t>
        </is>
      </c>
      <c r="M124" s="9" t="inlineStr"/>
      <c r="N124" s="9" t="inlineStr"/>
      <c r="O124" s="9" t="inlineStr"/>
    </row>
    <row r="125">
      <c r="A125" s="7" t="n">
        <v>205</v>
      </c>
      <c r="B125" s="7" t="inlineStr">
        <is>
          <t>Non-communicable diseases</t>
        </is>
      </c>
      <c r="C125" s="7" t="inlineStr">
        <is>
          <t>CVD &amp; diabetes</t>
        </is>
      </c>
      <c r="D125" s="8" t="inlineStr">
        <is>
          <t>Treatment for those with high blood pressure but low absolute risk of CVD/diabetes</t>
        </is>
      </c>
      <c r="E125" s="8" t="inlineStr">
        <is>
          <t>Traitement de l'hypertension à risque absolu faible</t>
        </is>
      </c>
      <c r="F125" s="7" t="inlineStr">
        <is>
          <t>Stroke</t>
        </is>
      </c>
      <c r="G125" s="7" t="inlineStr">
        <is>
          <t>People with SBP &gt; 160 mmHG and total CVD risk &lt; 20%</t>
        </is>
      </c>
      <c r="H125" s="7" t="n"/>
      <c r="I125" s="7" t="inlineStr">
        <is>
          <t>Missing</t>
        </is>
      </c>
      <c r="J125" s="7" t="inlineStr">
        <is>
          <t>Available - OHT Senegal ($2023)</t>
        </is>
      </c>
      <c r="K125" s="7" t="inlineStr">
        <is>
          <t>Missing</t>
        </is>
      </c>
      <c r="L125" s="7" t="inlineStr">
        <is>
          <t>No</t>
        </is>
      </c>
      <c r="M125" s="9" t="inlineStr"/>
      <c r="N125" s="9" t="inlineStr"/>
      <c r="O125" s="9" t="inlineStr"/>
    </row>
    <row r="126">
      <c r="A126" s="7" t="n">
        <v>58</v>
      </c>
      <c r="B126" s="7" t="inlineStr">
        <is>
          <t>Malaria</t>
        </is>
      </c>
      <c r="C126" s="7" t="inlineStr">
        <is>
          <t>Case management</t>
        </is>
      </c>
      <c r="D126" s="8" t="inlineStr">
        <is>
          <t>Treatment of malaria (pregnant women)</t>
        </is>
      </c>
      <c r="E126" s="8" t="inlineStr">
        <is>
          <t>Traitement du paludisme (femmes enceintes)</t>
        </is>
      </c>
      <c r="F126" s="7" t="inlineStr">
        <is>
          <t>Malaria</t>
        </is>
      </c>
      <c r="G126" s="7" t="inlineStr">
        <is>
          <t>Pregnant women</t>
        </is>
      </c>
      <c r="H126" s="7" t="n">
        <v>166449</v>
      </c>
      <c r="I126" s="7" t="inlineStr">
        <is>
          <t>Missing</t>
        </is>
      </c>
      <c r="J126" s="7" t="inlineStr">
        <is>
          <t>Available - OHT Senegal ($2023)</t>
        </is>
      </c>
      <c r="K126" s="7" t="inlineStr">
        <is>
          <t>Available</t>
        </is>
      </c>
      <c r="L126" s="7" t="inlineStr">
        <is>
          <t>No</t>
        </is>
      </c>
      <c r="M126" s="9" t="inlineStr"/>
      <c r="N126" s="9" t="inlineStr"/>
      <c r="O126" s="9" t="inlineStr"/>
    </row>
    <row r="127">
      <c r="A127" s="7" t="n">
        <v>59</v>
      </c>
      <c r="B127" s="7" t="inlineStr">
        <is>
          <t>Malaria</t>
        </is>
      </c>
      <c r="C127" s="7" t="inlineStr">
        <is>
          <t>Prevention</t>
        </is>
      </c>
      <c r="D127" s="8" t="inlineStr">
        <is>
          <t>Insecticide treated materials</t>
        </is>
      </c>
      <c r="E127" s="8" t="inlineStr">
        <is>
          <t>Matériaux imprégnés d'insecticide (moustiquaires)</t>
        </is>
      </c>
      <c r="F127" s="7" t="inlineStr">
        <is>
          <t>Malaria</t>
        </is>
      </c>
      <c r="G127" s="7" t="inlineStr">
        <is>
          <t>Total population</t>
        </is>
      </c>
      <c r="H127" s="7" t="n">
        <v>17697362</v>
      </c>
      <c r="I127" s="7" t="inlineStr">
        <is>
          <t>Missing</t>
        </is>
      </c>
      <c r="J127" s="7" t="inlineStr">
        <is>
          <t>Available - OHT Senegal ($2023)</t>
        </is>
      </c>
      <c r="K127" s="7" t="inlineStr">
        <is>
          <t>Available</t>
        </is>
      </c>
      <c r="L127" s="7" t="inlineStr">
        <is>
          <t>No</t>
        </is>
      </c>
      <c r="M127" s="9" t="inlineStr"/>
      <c r="N127" s="9" t="inlineStr"/>
      <c r="O127" s="9" t="inlineStr"/>
    </row>
    <row r="128">
      <c r="A128" s="7" t="n">
        <v>68</v>
      </c>
      <c r="B128" s="7" t="inlineStr">
        <is>
          <t>Malaria</t>
        </is>
      </c>
      <c r="C128" s="7" t="inlineStr">
        <is>
          <t>Case management</t>
        </is>
      </c>
      <c r="D128" s="8" t="inlineStr">
        <is>
          <t>Malaria treatment (adults, excluding pregnant women)</t>
        </is>
      </c>
      <c r="E128" s="8" t="inlineStr">
        <is>
          <t>Traitement du paludisme (adultes, hors femmes enceintes)</t>
        </is>
      </c>
      <c r="F128" s="7" t="inlineStr">
        <is>
          <t>Malaria</t>
        </is>
      </c>
      <c r="G128" s="7" t="inlineStr">
        <is>
          <t>Adults 15+</t>
        </is>
      </c>
      <c r="H128" s="7" t="n">
        <v>11221653</v>
      </c>
      <c r="I128" s="7" t="inlineStr">
        <is>
          <t>Missing</t>
        </is>
      </c>
      <c r="J128" s="7" t="inlineStr">
        <is>
          <t>Available - OHT Senegal ($2023)</t>
        </is>
      </c>
      <c r="K128" s="7" t="inlineStr">
        <is>
          <t>Available</t>
        </is>
      </c>
      <c r="L128" s="7" t="inlineStr">
        <is>
          <t>No</t>
        </is>
      </c>
      <c r="M128" s="9" t="inlineStr"/>
      <c r="N128" s="9" t="inlineStr"/>
      <c r="O128" s="9" t="inlineStr"/>
    </row>
    <row r="129">
      <c r="A129" s="7" t="n">
        <v>316</v>
      </c>
      <c r="B129" s="7" t="inlineStr">
        <is>
          <t>TB</t>
        </is>
      </c>
      <c r="C129" s="7" t="inlineStr">
        <is>
          <t>TB diagnosis with microscopy</t>
        </is>
      </c>
      <c r="D129" s="8" t="inlineStr">
        <is>
          <t>Diagnosis with microscopy: Active TB case finding, children</t>
        </is>
      </c>
      <c r="E129" s="8" t="inlineStr">
        <is>
          <t>Diagnostic par microscopie : dépistage actif, enfants</t>
        </is>
      </c>
      <c r="F129" s="7" t="inlineStr">
        <is>
          <t>Tuberculosis</t>
        </is>
      </c>
      <c r="G129" s="7" t="inlineStr">
        <is>
          <t>Number ACF screened for active TB, children</t>
        </is>
      </c>
      <c r="H129" s="7" t="n"/>
      <c r="I129" s="7" t="inlineStr">
        <is>
          <t>Missing</t>
        </is>
      </c>
      <c r="J129" s="7" t="inlineStr">
        <is>
          <t>Available - OHT Senegal ($2023)</t>
        </is>
      </c>
      <c r="K129" s="7" t="inlineStr">
        <is>
          <t>Missing</t>
        </is>
      </c>
      <c r="L129" s="7" t="inlineStr">
        <is>
          <t>No</t>
        </is>
      </c>
      <c r="M129" s="9" t="inlineStr"/>
      <c r="N129" s="9" t="inlineStr"/>
      <c r="O129" s="9" t="inlineStr"/>
    </row>
    <row r="130">
      <c r="A130" s="7" t="n">
        <v>317</v>
      </c>
      <c r="B130" s="7" t="inlineStr">
        <is>
          <t>TB</t>
        </is>
      </c>
      <c r="C130" s="7" t="inlineStr">
        <is>
          <t>TB diagnosis with microscopy</t>
        </is>
      </c>
      <c r="D130" s="8" t="inlineStr">
        <is>
          <t>Diagnosis with microscopy: Active TB case finding, adults</t>
        </is>
      </c>
      <c r="E130" s="8" t="inlineStr">
        <is>
          <t>Diagnostic par microscopie : dépistage actif, adultes</t>
        </is>
      </c>
      <c r="F130" s="7" t="inlineStr">
        <is>
          <t>Tuberculosis</t>
        </is>
      </c>
      <c r="G130" s="7" t="inlineStr">
        <is>
          <t>Number ACF screened for active TB, adults</t>
        </is>
      </c>
      <c r="H130" s="7" t="n"/>
      <c r="I130" s="7" t="inlineStr">
        <is>
          <t>Missing</t>
        </is>
      </c>
      <c r="J130" s="7" t="inlineStr">
        <is>
          <t>Available - OHT Senegal ($2023)</t>
        </is>
      </c>
      <c r="K130" s="7" t="inlineStr">
        <is>
          <t>Missing</t>
        </is>
      </c>
      <c r="L130" s="7" t="inlineStr">
        <is>
          <t>No</t>
        </is>
      </c>
      <c r="M130" s="9" t="inlineStr"/>
      <c r="N130" s="9" t="inlineStr"/>
      <c r="O130" s="9" t="inlineStr"/>
    </row>
    <row r="131">
      <c r="A131" s="7" t="n">
        <v>351</v>
      </c>
      <c r="B131" s="7" t="inlineStr">
        <is>
          <t>TB</t>
        </is>
      </c>
      <c r="C131" s="7" t="inlineStr">
        <is>
          <t>First-line TB treatment</t>
        </is>
      </c>
      <c r="D131" s="8" t="inlineStr">
        <is>
          <t>First-line TB treatment: Initial treatment for adults</t>
        </is>
      </c>
      <c r="E131" s="8" t="inlineStr">
        <is>
          <t>Traitement antituberculeux de 1re ligne : traitement initial, adultes</t>
        </is>
      </c>
      <c r="F131" s="7" t="inlineStr">
        <is>
          <t>Tuberculosis</t>
        </is>
      </c>
      <c r="G131" s="7" t="inlineStr">
        <is>
          <t>Number of new non-MDR cases, excluding relapse (adults)</t>
        </is>
      </c>
      <c r="H131" s="7" t="n">
        <v>12090</v>
      </c>
      <c r="I131" s="7" t="inlineStr">
        <is>
          <t>Missing</t>
        </is>
      </c>
      <c r="J131" s="7" t="inlineStr">
        <is>
          <t>Available - OHT Senegal ($2023)</t>
        </is>
      </c>
      <c r="K131" s="7" t="inlineStr">
        <is>
          <t>Available</t>
        </is>
      </c>
      <c r="L131" s="7" t="inlineStr">
        <is>
          <t>No</t>
        </is>
      </c>
      <c r="M131" s="9" t="inlineStr"/>
      <c r="N131" s="9" t="inlineStr"/>
      <c r="O131" s="9" t="inlineStr"/>
    </row>
    <row r="132">
      <c r="A132" s="7" t="n">
        <v>352</v>
      </c>
      <c r="B132" s="7" t="inlineStr">
        <is>
          <t>TB</t>
        </is>
      </c>
      <c r="C132" s="7" t="inlineStr">
        <is>
          <t>First-line TB treatment</t>
        </is>
      </c>
      <c r="D132" s="8" t="inlineStr">
        <is>
          <t>First-line TB treatment: Initial treatment for children</t>
        </is>
      </c>
      <c r="E132" s="8" t="inlineStr">
        <is>
          <t>Traitement antituberculeux de 1re ligne : traitement initial, enfants</t>
        </is>
      </c>
      <c r="F132" s="7" t="inlineStr">
        <is>
          <t>Tuberculosis</t>
        </is>
      </c>
      <c r="G132" s="7" t="inlineStr">
        <is>
          <t>Number of new non-MDR cases, excluding relapse (children)</t>
        </is>
      </c>
      <c r="H132" s="7" t="n">
        <v>544</v>
      </c>
      <c r="I132" s="7" t="inlineStr">
        <is>
          <t>Missing</t>
        </is>
      </c>
      <c r="J132" s="7" t="inlineStr">
        <is>
          <t>Available - OHT Senegal ($2023)</t>
        </is>
      </c>
      <c r="K132" s="7" t="inlineStr">
        <is>
          <t>Available</t>
        </is>
      </c>
      <c r="L132" s="7" t="inlineStr">
        <is>
          <t>No</t>
        </is>
      </c>
      <c r="M132" s="9" t="inlineStr"/>
      <c r="N132" s="9" t="inlineStr"/>
      <c r="O132" s="9" t="inlineStr"/>
    </row>
    <row r="133">
      <c r="A133" s="7" t="n">
        <v>353</v>
      </c>
      <c r="B133" s="7" t="inlineStr">
        <is>
          <t>TB</t>
        </is>
      </c>
      <c r="C133" s="7" t="inlineStr">
        <is>
          <t>First-line TB treatment</t>
        </is>
      </c>
      <c r="D133" s="8" t="inlineStr">
        <is>
          <t>First-line TB treatment: Previously treated for adults</t>
        </is>
      </c>
      <c r="E133" s="8" t="inlineStr">
        <is>
          <t>Traitement antituberculeux de 1re ligne : cas déjà traités, adultes</t>
        </is>
      </c>
      <c r="F133" s="7" t="inlineStr">
        <is>
          <t>Tuberculosis</t>
        </is>
      </c>
      <c r="G133" s="7" t="inlineStr">
        <is>
          <t>Number of previously treated non-MDR cases, including relapse (adults)</t>
        </is>
      </c>
      <c r="H133" s="7" t="n">
        <v>920</v>
      </c>
      <c r="I133" s="7" t="inlineStr">
        <is>
          <t>Missing</t>
        </is>
      </c>
      <c r="J133" s="7" t="inlineStr">
        <is>
          <t>Available - OHT Senegal ($2023)</t>
        </is>
      </c>
      <c r="K133" s="7" t="inlineStr">
        <is>
          <t>Available</t>
        </is>
      </c>
      <c r="L133" s="7" t="inlineStr">
        <is>
          <t>No</t>
        </is>
      </c>
      <c r="M133" s="9" t="inlineStr"/>
      <c r="N133" s="9" t="inlineStr"/>
      <c r="O133" s="9" t="inlineStr"/>
    </row>
    <row r="134">
      <c r="A134" s="7" t="n">
        <v>354</v>
      </c>
      <c r="B134" s="7" t="inlineStr">
        <is>
          <t>TB</t>
        </is>
      </c>
      <c r="C134" s="7" t="inlineStr">
        <is>
          <t>First-line TB treatment</t>
        </is>
      </c>
      <c r="D134" s="8" t="inlineStr">
        <is>
          <t>First-line TB treatment: Previously treated for children</t>
        </is>
      </c>
      <c r="E134" s="8" t="inlineStr">
        <is>
          <t>Traitement antituberculeux de 1re ligne : cas déjà traités, enfants</t>
        </is>
      </c>
      <c r="F134" s="7" t="inlineStr">
        <is>
          <t>Tuberculosis</t>
        </is>
      </c>
      <c r="G134" s="7" t="inlineStr">
        <is>
          <t>Number of previously treated non-MDR cases, including relapse (children)</t>
        </is>
      </c>
      <c r="H134" s="7" t="n">
        <v>41</v>
      </c>
      <c r="I134" s="7" t="inlineStr">
        <is>
          <t>Missing</t>
        </is>
      </c>
      <c r="J134" s="7" t="inlineStr">
        <is>
          <t>Available - OHT Senegal ($2023)</t>
        </is>
      </c>
      <c r="K134" s="7" t="inlineStr">
        <is>
          <t>Available</t>
        </is>
      </c>
      <c r="L134" s="7" t="inlineStr">
        <is>
          <t>No</t>
        </is>
      </c>
      <c r="M134" s="9" t="inlineStr"/>
      <c r="N134" s="9" t="inlineStr"/>
      <c r="O134" s="9" t="inlineStr"/>
    </row>
    <row r="135">
      <c r="A135" s="7" t="n">
        <v>356</v>
      </c>
      <c r="B135" s="7" t="inlineStr">
        <is>
          <t>TB</t>
        </is>
      </c>
      <c r="C135" s="7" t="inlineStr">
        <is>
          <t>Second-line TB treatment</t>
        </is>
      </c>
      <c r="D135" s="8" t="inlineStr">
        <is>
          <t>XDR-TB treatment</t>
        </is>
      </c>
      <c r="E135" s="8" t="inlineStr">
        <is>
          <t>Traitement de la TB ultrarésistante (XDR-TB)</t>
        </is>
      </c>
      <c r="F135" s="7" t="inlineStr">
        <is>
          <t>Tuberculosis</t>
        </is>
      </c>
      <c r="G135" s="7" t="inlineStr">
        <is>
          <t>XDR cases</t>
        </is>
      </c>
      <c r="H135" s="7" t="n"/>
      <c r="I135" s="7" t="inlineStr">
        <is>
          <t>Available - Uganda fallback</t>
        </is>
      </c>
      <c r="J135" s="7" t="inlineStr">
        <is>
          <t>Available - OHT Senegal ($2023)</t>
        </is>
      </c>
      <c r="K135" s="7" t="inlineStr">
        <is>
          <t>Missing</t>
        </is>
      </c>
      <c r="L135" s="7" t="inlineStr">
        <is>
          <t>No</t>
        </is>
      </c>
      <c r="M135" s="9" t="inlineStr"/>
      <c r="N135" s="9" t="inlineStr"/>
      <c r="O135" s="9" t="inlineStr"/>
    </row>
    <row r="136">
      <c r="A136" s="7" t="n">
        <v>382</v>
      </c>
      <c r="B136" s="7" t="inlineStr">
        <is>
          <t>TB</t>
        </is>
      </c>
      <c r="C136" s="7" t="inlineStr">
        <is>
          <t>TB preventive therapy (TPT)</t>
        </is>
      </c>
      <c r="D136" s="8" t="inlineStr">
        <is>
          <t>TPT for HIV-negative child household contacts</t>
        </is>
      </c>
      <c r="E136" s="8" t="inlineStr">
        <is>
          <t>TPT pour les enfants VIH-négatifs contacts du ménage</t>
        </is>
      </c>
      <c r="F136" s="7" t="inlineStr">
        <is>
          <t>Tuberculosis</t>
        </is>
      </c>
      <c r="G136" s="7" t="inlineStr">
        <is>
          <t>TB-negative child household contacts</t>
        </is>
      </c>
      <c r="H136" s="7" t="n"/>
      <c r="I136" s="7" t="inlineStr">
        <is>
          <t>Available - Uganda fallback</t>
        </is>
      </c>
      <c r="J136" s="7" t="inlineStr">
        <is>
          <t>Available - OHT Senegal ($2023)</t>
        </is>
      </c>
      <c r="K136" s="7" t="inlineStr">
        <is>
          <t>Missing</t>
        </is>
      </c>
      <c r="L136" s="7" t="inlineStr">
        <is>
          <t>No</t>
        </is>
      </c>
      <c r="M136" s="9" t="inlineStr"/>
      <c r="N136" s="9" t="inlineStr"/>
      <c r="O136" s="9" t="inlineStr"/>
    </row>
    <row r="137">
      <c r="A137" s="7" t="n">
        <v>383</v>
      </c>
      <c r="B137" s="7" t="inlineStr">
        <is>
          <t>TB</t>
        </is>
      </c>
      <c r="C137" s="7" t="inlineStr">
        <is>
          <t>TB preventive therapy (TPT)</t>
        </is>
      </c>
      <c r="D137" s="8" t="inlineStr">
        <is>
          <t>TPT for HIV-negative adult household contacts</t>
        </is>
      </c>
      <c r="E137" s="8" t="inlineStr">
        <is>
          <t>TPT pour les adultes VIH-négatifs contacts du ménage</t>
        </is>
      </c>
      <c r="F137" s="7" t="inlineStr">
        <is>
          <t>Tuberculosis</t>
        </is>
      </c>
      <c r="G137" s="7" t="inlineStr">
        <is>
          <t>TB-negative adult household contacts</t>
        </is>
      </c>
      <c r="H137" s="7" t="n"/>
      <c r="I137" s="7" t="inlineStr">
        <is>
          <t>Missing</t>
        </is>
      </c>
      <c r="J137" s="7" t="inlineStr">
        <is>
          <t>Available - OHT Senegal ($2023)</t>
        </is>
      </c>
      <c r="K137" s="7" t="inlineStr">
        <is>
          <t>Missing</t>
        </is>
      </c>
      <c r="L137" s="7" t="inlineStr">
        <is>
          <t>No</t>
        </is>
      </c>
      <c r="M137" s="9" t="inlineStr"/>
      <c r="N137" s="9" t="inlineStr"/>
      <c r="O137" s="9" t="inlineStr"/>
    </row>
    <row r="138">
      <c r="A138" s="7" t="n">
        <v>386</v>
      </c>
      <c r="B138" s="7" t="inlineStr">
        <is>
          <t>TB</t>
        </is>
      </c>
      <c r="C138" s="7" t="inlineStr">
        <is>
          <t>TB preventive therapy (TPT)</t>
        </is>
      </c>
      <c r="D138" s="8" t="inlineStr">
        <is>
          <t>TPT for new child ART patients</t>
        </is>
      </c>
      <c r="E138" s="8" t="inlineStr">
        <is>
          <t>TPT pour les nouveaux enfants sous ARV</t>
        </is>
      </c>
      <c r="F138" s="7" t="inlineStr">
        <is>
          <t>Tuberculosis</t>
        </is>
      </c>
      <c r="G138" s="7" t="inlineStr">
        <is>
          <t>TB-negative new child ART patients</t>
        </is>
      </c>
      <c r="H138" s="7" t="n">
        <v>7</v>
      </c>
      <c r="I138" s="7" t="inlineStr">
        <is>
          <t>Missing</t>
        </is>
      </c>
      <c r="J138" s="7" t="inlineStr">
        <is>
          <t>Available - OHT Senegal ($2023)</t>
        </is>
      </c>
      <c r="K138" s="7" t="inlineStr">
        <is>
          <t>Available</t>
        </is>
      </c>
      <c r="L138" s="7" t="inlineStr">
        <is>
          <t>No</t>
        </is>
      </c>
      <c r="M138" s="9" t="inlineStr"/>
      <c r="N138" s="9" t="inlineStr"/>
      <c r="O138" s="9" t="inlineStr"/>
    </row>
    <row r="139">
      <c r="A139" s="7" t="n">
        <v>387</v>
      </c>
      <c r="B139" s="7" t="inlineStr">
        <is>
          <t>TB</t>
        </is>
      </c>
      <c r="C139" s="7" t="inlineStr">
        <is>
          <t>TB preventive therapy (TPT)</t>
        </is>
      </c>
      <c r="D139" s="8" t="inlineStr">
        <is>
          <t>TPT for new adult ART patients</t>
        </is>
      </c>
      <c r="E139" s="8" t="inlineStr">
        <is>
          <t>TPT pour les nouveaux adultes sous ARV</t>
        </is>
      </c>
      <c r="F139" s="7" t="inlineStr">
        <is>
          <t>Tuberculosis</t>
        </is>
      </c>
      <c r="G139" s="7" t="inlineStr">
        <is>
          <t>TB-negative new adult ART patients</t>
        </is>
      </c>
      <c r="H139" s="7" t="n">
        <v>134</v>
      </c>
      <c r="I139" s="7" t="inlineStr">
        <is>
          <t>Missing</t>
        </is>
      </c>
      <c r="J139" s="7" t="inlineStr">
        <is>
          <t>Available - OHT Senegal ($2023)</t>
        </is>
      </c>
      <c r="K139" s="7" t="inlineStr">
        <is>
          <t>Available</t>
        </is>
      </c>
      <c r="L139" s="7" t="inlineStr">
        <is>
          <t>No</t>
        </is>
      </c>
      <c r="M139" s="9" t="inlineStr"/>
      <c r="N139" s="9" t="inlineStr"/>
      <c r="O139" s="9" t="inlineStr"/>
    </row>
    <row r="140">
      <c r="A140" s="7" t="n">
        <v>204</v>
      </c>
      <c r="B140" s="7" t="inlineStr">
        <is>
          <t>Non-communicable diseases</t>
        </is>
      </c>
      <c r="C140" s="7" t="inlineStr">
        <is>
          <t>CVD &amp; diabetes</t>
        </is>
      </c>
      <c r="D140" s="8" t="inlineStr">
        <is>
          <t>Treatment for those with very high cholesterol but low absolute risk of CVD/diabetes</t>
        </is>
      </c>
      <c r="E140" s="8" t="inlineStr">
        <is>
          <t>Traitement de l'hypercholestérolémie sévère à risque absolu faible</t>
        </is>
      </c>
      <c r="F140" s="7" t="inlineStr">
        <is>
          <t>Ischemic heart disease</t>
        </is>
      </c>
      <c r="G140" s="7" t="inlineStr">
        <is>
          <t>People with cholesterol &gt; 8 mmol/L and total CVD risk &lt; 20%</t>
        </is>
      </c>
      <c r="H140" s="7" t="n"/>
      <c r="I140" s="7" t="inlineStr">
        <is>
          <t>Missing</t>
        </is>
      </c>
      <c r="J140" s="7" t="inlineStr">
        <is>
          <t>Available - OHT Senegal ($2023)</t>
        </is>
      </c>
      <c r="K140" s="7" t="inlineStr">
        <is>
          <t>Missing</t>
        </is>
      </c>
      <c r="L140" s="7" t="inlineStr">
        <is>
          <t>No</t>
        </is>
      </c>
      <c r="M140" s="9" t="inlineStr"/>
      <c r="N140" s="9" t="inlineStr"/>
      <c r="O140" s="9" t="inlineStr"/>
    </row>
    <row r="141">
      <c r="A141" s="7" t="n">
        <v>208</v>
      </c>
      <c r="B141" s="7" t="inlineStr">
        <is>
          <t>Non-communicable diseases</t>
        </is>
      </c>
      <c r="C141" s="7" t="inlineStr">
        <is>
          <t>CVD &amp; diabetes</t>
        </is>
      </c>
      <c r="D141" s="8" t="inlineStr">
        <is>
          <t>Treatment of new cases of acute myocardial infarction (AMI) with aspirin</t>
        </is>
      </c>
      <c r="E141" s="8" t="inlineStr">
        <is>
          <t>Traitement de l'infarctus aigu du myocarde par aspirine</t>
        </is>
      </c>
      <c r="F141" s="7" t="inlineStr">
        <is>
          <t>Ischemic heart disease</t>
        </is>
      </c>
      <c r="G141" s="7" t="inlineStr">
        <is>
          <t>People with acute strokes or acute IHD</t>
        </is>
      </c>
      <c r="H141" s="7" t="n">
        <v>34817</v>
      </c>
      <c r="I141" s="7" t="inlineStr">
        <is>
          <t>Missing</t>
        </is>
      </c>
      <c r="J141" s="7" t="inlineStr">
        <is>
          <t>Available - OHT Senegal ($2023)</t>
        </is>
      </c>
      <c r="K141" s="7" t="inlineStr">
        <is>
          <t>Available</t>
        </is>
      </c>
      <c r="L141" s="7" t="inlineStr">
        <is>
          <t>No</t>
        </is>
      </c>
      <c r="M141" s="9" t="inlineStr"/>
      <c r="N141" s="9" t="inlineStr"/>
      <c r="O141" s="9" t="inlineStr"/>
    </row>
    <row r="142">
      <c r="A142" s="7" t="n">
        <v>209</v>
      </c>
      <c r="B142" s="7" t="inlineStr">
        <is>
          <t>Non-communicable diseases</t>
        </is>
      </c>
      <c r="C142" s="7" t="inlineStr">
        <is>
          <t>CVD &amp; diabetes</t>
        </is>
      </c>
      <c r="D142" s="8" t="inlineStr">
        <is>
          <t>Treatment of cases with established ischaemic heart disease (IHD)</t>
        </is>
      </c>
      <c r="E142" s="8" t="inlineStr">
        <is>
          <t>Traitement de la cardiopathie ischémique établie</t>
        </is>
      </c>
      <c r="F142" s="7" t="inlineStr">
        <is>
          <t>Ischemic heart disease</t>
        </is>
      </c>
      <c r="G142" s="7" t="inlineStr">
        <is>
          <t>People with post-acute IHD</t>
        </is>
      </c>
      <c r="H142" s="7" t="n">
        <v>14625</v>
      </c>
      <c r="I142" s="7" t="inlineStr">
        <is>
          <t>Missing</t>
        </is>
      </c>
      <c r="J142" s="7" t="inlineStr">
        <is>
          <t>Available - OHT Senegal ($2023)</t>
        </is>
      </c>
      <c r="K142" s="7" t="inlineStr">
        <is>
          <t>Available</t>
        </is>
      </c>
      <c r="L142" s="7" t="inlineStr">
        <is>
          <t>No</t>
        </is>
      </c>
      <c r="M142" s="9" t="inlineStr"/>
      <c r="N142" s="9" t="inlineStr"/>
      <c r="O142" s="9" t="inlineStr"/>
    </row>
  </sheetData>
  <dataValidations count="1">
    <dataValidation sqref="M2:M142" showDropDown="0" showInputMessage="0" showErrorMessage="0" allowBlank="1" type="list">
      <formula1>"E01,E02,E03,E04,E05,E06,E07,E08,E09,E10,E11,E12,E13,E14,E15,E16,Other (specify in notes)"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14" customWidth="1" min="4" max="4"/>
    <col width="10" customWidth="1" min="5" max="5"/>
    <col width="10" customWidth="1" min="6" max="6"/>
    <col width="10" customWidth="1" min="7" max="7"/>
    <col width="14" customWidth="1" min="8" max="8"/>
    <col width="12" customWidth="1" min="9" max="9"/>
    <col width="26" customWidth="1" min="10" max="10"/>
    <col width="8" customWidth="1" min="11" max="11"/>
    <col width="40" customWidth="1" min="12" max="12"/>
    <col width="22" customWidth="1" min="13" max="13"/>
    <col width="40" customWidth="1" min="14" max="14"/>
    <col width="14" customWidth="1" min="15" max="15"/>
    <col width="34" customWidth="1" min="16" max="16"/>
  </cols>
  <sheetData>
    <row r="1">
      <c r="A1" s="6" t="inlineStr">
        <is>
          <t>ID</t>
        </is>
      </c>
      <c r="B1" s="6" t="inlineStr">
        <is>
          <t>GBD cause</t>
        </is>
      </c>
      <c r="C1" s="6" t="inlineStr">
        <is>
          <t>No. of interventions concerned (tab 1)</t>
        </is>
      </c>
      <c r="D1" s="6" t="inlineStr">
        <is>
          <t>Q1 - Poorest (%)</t>
        </is>
      </c>
      <c r="E1" s="6" t="inlineStr">
        <is>
          <t>Q2 (%)</t>
        </is>
      </c>
      <c r="F1" s="6" t="inlineStr">
        <is>
          <t>Q3 (%)</t>
        </is>
      </c>
      <c r="G1" s="6" t="inlineStr">
        <is>
          <t>Q4 (%)</t>
        </is>
      </c>
      <c r="H1" s="6" t="inlineStr">
        <is>
          <t>Q5 - Richest (%)</t>
        </is>
      </c>
      <c r="I1" s="6" t="inlineStr">
        <is>
          <t>Sum (check)</t>
        </is>
      </c>
      <c r="J1" s="6" t="inlineStr">
        <is>
          <t>Source (survey/report)</t>
        </is>
      </c>
      <c r="K1" s="6" t="inlineStr">
        <is>
          <t>Year</t>
        </is>
      </c>
      <c r="L1" s="6" t="inlineStr">
        <is>
          <t>Indicator / exact table (lead)</t>
        </is>
      </c>
      <c r="M1" s="6" t="inlineStr">
        <is>
          <t>Page / Table no. (to verify)</t>
        </is>
      </c>
      <c r="N1" s="6" t="inlineStr">
        <is>
          <t>Justification</t>
        </is>
      </c>
      <c r="O1" s="6" t="inlineStr">
        <is>
          <t>Status</t>
        </is>
      </c>
      <c r="P1" s="13" t="inlineStr">
        <is>
          <t>Data tier</t>
        </is>
      </c>
    </row>
    <row r="2">
      <c r="A2" s="7" t="inlineStr">
        <is>
          <t>D01</t>
        </is>
      </c>
      <c r="B2" s="8" t="inlineStr">
        <is>
          <t>Anxiety disorders</t>
        </is>
      </c>
      <c r="C2" s="7" t="n">
        <v>2</v>
      </c>
      <c r="D2" s="14" t="n">
        <v>20</v>
      </c>
      <c r="E2" s="14" t="n">
        <v>20</v>
      </c>
      <c r="F2" s="14" t="n">
        <v>20</v>
      </c>
      <c r="G2" s="14" t="n">
        <v>20</v>
      </c>
      <c r="H2" s="14" t="n">
        <v>20</v>
      </c>
      <c r="I2" s="7">
        <f>SUM(D2:H2)</f>
        <v/>
      </c>
      <c r="J2" s="14" t="inlineStr">
        <is>
          <t>Plausible assumption</t>
        </is>
      </c>
      <c r="K2" s="10" t="n"/>
      <c r="L2" s="15" t="inlineStr">
        <is>
          <t>Equal-prevalence default</t>
        </is>
      </c>
      <c r="M2" s="10" t="inlineStr"/>
      <c r="N2" s="15" t="inlineStr">
        <is>
          <t>No consistent SES gradient for common mental disorders is established in LMIC evidence (unlike the strong poverty gradient for infectious disease). Equal distribution is used, matching Arnold et al.'s own 'equal prevalence' sensitivity-analysis scenario rather than their poverty-linked default.</t>
        </is>
      </c>
      <c r="O2" s="7" t="inlineStr">
        <is>
          <t>Filled</t>
        </is>
      </c>
      <c r="P2" s="16" t="inlineStr">
        <is>
          <t>Tier 3 - Plausible assumption (WHO/regional evidence)</t>
        </is>
      </c>
    </row>
    <row r="3">
      <c r="A3" s="7" t="inlineStr">
        <is>
          <t>D02</t>
        </is>
      </c>
      <c r="B3" s="8" t="inlineStr">
        <is>
          <t>Depressive disorders</t>
        </is>
      </c>
      <c r="C3" s="7" t="n">
        <v>4</v>
      </c>
      <c r="D3" s="14" t="n">
        <v>20</v>
      </c>
      <c r="E3" s="14" t="n">
        <v>20</v>
      </c>
      <c r="F3" s="14" t="n">
        <v>20</v>
      </c>
      <c r="G3" s="14" t="n">
        <v>20</v>
      </c>
      <c r="H3" s="14" t="n">
        <v>20</v>
      </c>
      <c r="I3" s="7">
        <f>SUM(D3:H3)</f>
        <v/>
      </c>
      <c r="J3" s="14" t="inlineStr">
        <is>
          <t>Plausible assumption</t>
        </is>
      </c>
      <c r="K3" s="10" t="n"/>
      <c r="L3" s="15" t="inlineStr">
        <is>
          <t>Equal-prevalence default</t>
        </is>
      </c>
      <c r="M3" s="10" t="inlineStr"/>
      <c r="N3" s="15" t="inlineStr">
        <is>
          <t>Same rationale as anxiety disorders.</t>
        </is>
      </c>
      <c r="O3" s="7" t="inlineStr">
        <is>
          <t>Filled</t>
        </is>
      </c>
      <c r="P3" s="16" t="inlineStr">
        <is>
          <t>Tier 3 - Plausible assumption (WHO/regional evidence)</t>
        </is>
      </c>
    </row>
    <row r="4">
      <c r="A4" s="7" t="inlineStr">
        <is>
          <t>D03</t>
        </is>
      </c>
      <c r="B4" s="8" t="inlineStr">
        <is>
          <t>Diabetes mellitus</t>
        </is>
      </c>
      <c r="C4" s="7" t="n">
        <v>4</v>
      </c>
      <c r="D4" s="14" t="n">
        <v>16</v>
      </c>
      <c r="E4" s="14" t="n">
        <v>18</v>
      </c>
      <c r="F4" s="14" t="n">
        <v>20</v>
      </c>
      <c r="G4" s="14" t="n">
        <v>22</v>
      </c>
      <c r="H4" s="14" t="n">
        <v>24</v>
      </c>
      <c r="I4" s="7">
        <f>SUM(D4:H4)</f>
        <v/>
      </c>
      <c r="J4" s="14" t="inlineStr">
        <is>
          <t>Plausible assumption (WHO AFRO / STEPS pattern)</t>
        </is>
      </c>
      <c r="K4" s="10" t="n"/>
      <c r="L4" s="15" t="inlineStr">
        <is>
          <t>Mildly pro-rich gradient</t>
        </is>
      </c>
      <c r="M4" s="10" t="inlineStr"/>
      <c r="N4" s="15" t="inlineStr">
        <is>
          <t>WHO AFRO STEPS surveys across Sub-Saharan Africa typically show non-communicable disease risk factors (diabetes, elevated blood pressure) flat to mildly MORE prevalent in wealthier and urban groups during early epidemiological transition (diet/lifestyle association), the opposite direction from communicable disease. A modest pro-rich gradient is assumed pending a Senegal STEPS extraction by quintile.</t>
        </is>
      </c>
      <c r="O4" s="7" t="inlineStr">
        <is>
          <t>Filled</t>
        </is>
      </c>
      <c r="P4" s="16" t="inlineStr">
        <is>
          <t>Tier 3 - Plausible assumption (WHO/regional evidence)</t>
        </is>
      </c>
    </row>
    <row r="5">
      <c r="A5" s="7" t="inlineStr">
        <is>
          <t>D04</t>
        </is>
      </c>
      <c r="B5" s="8" t="inlineStr">
        <is>
          <t>Diarrheal diseases</t>
        </is>
      </c>
      <c r="C5" s="7" t="n">
        <v>6</v>
      </c>
      <c r="D5" s="12" t="n">
        <v>15.7</v>
      </c>
      <c r="E5" s="12" t="n">
        <v>19</v>
      </c>
      <c r="F5" s="12" t="n">
        <v>21.4</v>
      </c>
      <c r="G5" s="12" t="n">
        <v>21.7</v>
      </c>
      <c r="H5" s="12" t="n">
        <v>22.3</v>
      </c>
      <c r="I5" s="7">
        <f>SUM(D5:H5)</f>
        <v/>
      </c>
      <c r="J5" s="12" t="inlineStr">
        <is>
          <t>EDS-Continue Senegal 2023</t>
        </is>
      </c>
      <c r="K5" s="10" t="n">
        <v>2023</v>
      </c>
      <c r="L5" s="11" t="inlineStr">
        <is>
          <t>Table 10.9 — Children &lt;5 years who had diarrhea (previous 2 weeks)</t>
        </is>
      </c>
      <c r="M5" s="10" t="inlineStr">
        <is>
          <t>p.148 (PDF p.174)</t>
        </is>
      </c>
      <c r="N5" s="11" t="inlineStr">
        <is>
          <t>Case share computed from diarrhea prevalence rates by quintile (17.6% / 21.3% / 24.0% / 24.3% / 25.0%), each divided by the sum of the rates — since quintiles have equal population size by construction, case share = rate / sum of rates.</t>
        </is>
      </c>
      <c r="O5" s="7" t="inlineStr">
        <is>
          <t>Filled</t>
        </is>
      </c>
      <c r="P5" s="17" t="inlineStr">
        <is>
          <t>Tier 1 - Senegal actual (EDS-Continue 2023)</t>
        </is>
      </c>
    </row>
    <row r="6">
      <c r="A6" s="7" t="inlineStr">
        <is>
          <t>D05</t>
        </is>
      </c>
      <c r="B6" s="8" t="inlineStr">
        <is>
          <t>Dietary iron deficiency</t>
        </is>
      </c>
      <c r="C6" s="7" t="n">
        <v>8</v>
      </c>
      <c r="D6" s="18" t="n">
        <v>36</v>
      </c>
      <c r="E6" s="18" t="n">
        <v>16</v>
      </c>
      <c r="F6" s="18" t="n">
        <v>23</v>
      </c>
      <c r="G6" s="18" t="n">
        <v>13</v>
      </c>
      <c r="H6" s="18" t="n">
        <v>12</v>
      </c>
      <c r="I6" s="7">
        <f>SUM(D6:H6)</f>
        <v/>
      </c>
      <c r="J6" s="18" t="inlineStr">
        <is>
          <t>Arnold, Nkhoma &amp; Griffin (2020), Health Policy and Planning 35(6):646-656, Table 1</t>
        </is>
      </c>
      <c r="K6" s="10" t="n">
        <v>2020</v>
      </c>
      <c r="L6" s="19" t="inlineStr">
        <is>
          <t>Table 1 - aggregate EHP-disease case share by quintile</t>
        </is>
      </c>
      <c r="M6" s="10" t="inlineStr">
        <is>
          <t>Table 1</t>
        </is>
      </c>
      <c r="N6" s="19" t="inlineStr">
        <is>
          <t>Senegal's own document only gives a national top-line anemia figure, no quintile breakdown. Anemia is strongly linked to poverty/undernutrition in the general WHO/LMIC literature, so Malawi's aggregate poverty-linked disease-share gradient is used as a reasonable proxy pending a Senegal biomarker extraction.</t>
        </is>
      </c>
      <c r="O6" s="7" t="inlineStr">
        <is>
          <t>Filled</t>
        </is>
      </c>
      <c r="P6" s="20" t="inlineStr">
        <is>
          <t>Tier 2 - Malawi (Arnold et al. 2020)</t>
        </is>
      </c>
    </row>
    <row r="7">
      <c r="A7" s="7" t="inlineStr">
        <is>
          <t>D06</t>
        </is>
      </c>
      <c r="B7" s="8" t="inlineStr">
        <is>
          <t>HIV/AIDS</t>
        </is>
      </c>
      <c r="C7" s="7" t="n">
        <v>10</v>
      </c>
      <c r="D7" s="14" t="n">
        <v>20</v>
      </c>
      <c r="E7" s="14" t="n">
        <v>20</v>
      </c>
      <c r="F7" s="14" t="n">
        <v>20</v>
      </c>
      <c r="G7" s="14" t="n">
        <v>20</v>
      </c>
      <c r="H7" s="14" t="n">
        <v>20</v>
      </c>
      <c r="I7" s="7">
        <f>SUM(D7:H7)</f>
        <v/>
      </c>
      <c r="J7" s="14" t="inlineStr">
        <is>
          <t>Plausible assumption</t>
        </is>
      </c>
      <c r="K7" s="10" t="n"/>
      <c r="L7" s="15" t="inlineStr">
        <is>
          <t>No consistent regional direction found</t>
        </is>
      </c>
      <c r="M7" s="10" t="inlineStr"/>
      <c r="N7" s="15" t="inlineStr">
        <is>
          <t>UNAIDS/DHS evidence on HIV prevalence by wealth quintile is mixed and country-specific in West/Central Africa's mixed/low-generalized epidemics (unlike the clearer poverty gradient for diarrhea/malaria/TB) — some countries show HIGHER prevalence in wealthier/urban quintiles (mobility-linked), others the reverse. In the absence of a Senegal-specific source, an equal distribution is used as the conservative default, pending PNLS surveillance data or EHCVM/full-EDS by quintile.</t>
        </is>
      </c>
      <c r="O7" s="7" t="inlineStr">
        <is>
          <t>Filled</t>
        </is>
      </c>
      <c r="P7" s="16" t="inlineStr">
        <is>
          <t>Tier 3 - Plausible assumption (WHO/regional evidence)</t>
        </is>
      </c>
    </row>
    <row r="8">
      <c r="A8" s="7" t="inlineStr">
        <is>
          <t>D07</t>
        </is>
      </c>
      <c r="B8" s="8" t="inlineStr">
        <is>
          <t>Ischemic heart disease</t>
        </is>
      </c>
      <c r="C8" s="7" t="n">
        <v>5</v>
      </c>
      <c r="D8" s="14" t="n">
        <v>16</v>
      </c>
      <c r="E8" s="14" t="n">
        <v>18</v>
      </c>
      <c r="F8" s="14" t="n">
        <v>20</v>
      </c>
      <c r="G8" s="14" t="n">
        <v>22</v>
      </c>
      <c r="H8" s="14" t="n">
        <v>24</v>
      </c>
      <c r="I8" s="7">
        <f>SUM(D8:H8)</f>
        <v/>
      </c>
      <c r="J8" s="14" t="inlineStr">
        <is>
          <t>Plausible assumption (WHO AFRO / STEPS pattern)</t>
        </is>
      </c>
      <c r="K8" s="10" t="n"/>
      <c r="L8" s="15" t="inlineStr">
        <is>
          <t>Mildly pro-rich gradient</t>
        </is>
      </c>
      <c r="M8" s="10" t="inlineStr"/>
      <c r="N8" s="15" t="inlineStr">
        <is>
          <t>Same rationale as diabetes mellitus (shared cardiometabolic risk-factor pattern).</t>
        </is>
      </c>
      <c r="O8" s="7" t="inlineStr">
        <is>
          <t>Filled</t>
        </is>
      </c>
      <c r="P8" s="16" t="inlineStr">
        <is>
          <t>Tier 3 - Plausible assumption (WHO/regional evidence)</t>
        </is>
      </c>
    </row>
    <row r="9">
      <c r="A9" s="7" t="inlineStr">
        <is>
          <t>D08</t>
        </is>
      </c>
      <c r="B9" s="8" t="inlineStr">
        <is>
          <t>Lower respiratory infections</t>
        </is>
      </c>
      <c r="C9" s="7" t="n">
        <v>3</v>
      </c>
      <c r="D9" s="12" t="n">
        <v>13.6</v>
      </c>
      <c r="E9" s="12" t="n">
        <v>17.8</v>
      </c>
      <c r="F9" s="12" t="n">
        <v>22.1</v>
      </c>
      <c r="G9" s="12" t="n">
        <v>25.5</v>
      </c>
      <c r="H9" s="12" t="n">
        <v>21.1</v>
      </c>
      <c r="I9" s="7">
        <f>SUM(D9:H9)</f>
        <v/>
      </c>
      <c r="J9" s="12" t="inlineStr">
        <is>
          <t>EDS-Continue Senegal 2023</t>
        </is>
      </c>
      <c r="K9" s="10" t="n">
        <v>2023</v>
      </c>
      <c r="L9" s="11" t="inlineStr">
        <is>
          <t>Table 10.8 - Children &lt;5y with fever (shared proxy, see Malaria row)</t>
        </is>
      </c>
      <c r="M9" s="10" t="inlineStr">
        <is>
          <t>p.147 (PDF p.173)</t>
        </is>
      </c>
      <c r="N9" s="11" t="inlineStr">
        <is>
          <t>Same fever-prevalence proxy already used for Malaria (Table 10.8). Reused here for acute respiratory infection because no ARI-specific prevalence table was found in this document, and fever is a shared entry symptom for both conditions in children &lt;5. Replace with a dedicated ARI indicator (EHCVM or full EDS) when available.</t>
        </is>
      </c>
      <c r="O9" s="7" t="inlineStr">
        <is>
          <t>Filled</t>
        </is>
      </c>
      <c r="P9" s="17" t="inlineStr">
        <is>
          <t>Tier 1b - Senegal proxy (related EDS-Continue indicator)</t>
        </is>
      </c>
    </row>
    <row r="10">
      <c r="A10" s="7" t="inlineStr">
        <is>
          <t>D09</t>
        </is>
      </c>
      <c r="B10" s="8" t="inlineStr">
        <is>
          <t>Malaria</t>
        </is>
      </c>
      <c r="C10" s="7" t="n">
        <v>7</v>
      </c>
      <c r="D10" s="12" t="n">
        <v>13.6</v>
      </c>
      <c r="E10" s="12" t="n">
        <v>17.8</v>
      </c>
      <c r="F10" s="12" t="n">
        <v>22.1</v>
      </c>
      <c r="G10" s="12" t="n">
        <v>25.5</v>
      </c>
      <c r="H10" s="12" t="n">
        <v>21.1</v>
      </c>
      <c r="I10" s="7">
        <f>SUM(D10:H10)</f>
        <v/>
      </c>
      <c r="J10" s="12" t="inlineStr">
        <is>
          <t>EDS-Continue Senegal 2023</t>
        </is>
      </c>
      <c r="K10" s="10" t="n">
        <v>2023</v>
      </c>
      <c r="L10" s="11" t="inlineStr">
        <is>
          <t>Table 12.10 — Children &lt;5 years who had fever (malaria proxy)</t>
        </is>
      </c>
      <c r="M10" s="10" t="inlineStr">
        <is>
          <t>p.178 (PDF p.204)</t>
        </is>
      </c>
      <c r="N10" s="11" t="inlineStr">
        <is>
          <t>PROXY: prevalence of fever among children &lt;5 (14.8/19.4/24.1/27.9/23.0%); confirmed malaria (positive test) applies to only 15.7% of febrile cases on average (same table). In the absence of confirmed malaria prevalence by quintile in this document, fever is used as a burden proxy, as is common practice in endemic settings.</t>
        </is>
      </c>
      <c r="O10" s="7" t="inlineStr">
        <is>
          <t>Filled</t>
        </is>
      </c>
      <c r="P10" s="17" t="inlineStr">
        <is>
          <t>Tier 1 - Senegal actual (EDS-Continue 2023)</t>
        </is>
      </c>
    </row>
    <row r="11">
      <c r="A11" s="7" t="inlineStr">
        <is>
          <t>D10</t>
        </is>
      </c>
      <c r="B11" s="8" t="inlineStr">
        <is>
          <t>Maternal disorders</t>
        </is>
      </c>
      <c r="C11" s="7" t="n">
        <v>29</v>
      </c>
      <c r="D11" s="18" t="n">
        <v>36</v>
      </c>
      <c r="E11" s="18" t="n">
        <v>16</v>
      </c>
      <c r="F11" s="18" t="n">
        <v>23</v>
      </c>
      <c r="G11" s="18" t="n">
        <v>13</v>
      </c>
      <c r="H11" s="18" t="n">
        <v>12</v>
      </c>
      <c r="I11" s="7">
        <f>SUM(D11:H11)</f>
        <v/>
      </c>
      <c r="J11" s="18" t="inlineStr">
        <is>
          <t>Arnold, Nkhoma &amp; Griffin (2020), Health Policy and Planning 35(6):646-656, Table 1</t>
        </is>
      </c>
      <c r="K11" s="10" t="n">
        <v>2020</v>
      </c>
      <c r="L11" s="19" t="inlineStr">
        <is>
          <t>Table 1 - aggregate EHP-disease case share by quintile</t>
        </is>
      </c>
      <c r="M11" s="10" t="inlineStr">
        <is>
          <t>Table 1</t>
        </is>
      </c>
      <c r="N11" s="19" t="inlineStr">
        <is>
          <t>No Senegal complication-prevalence table by quintile found. Follows Arnold et al.'s own stated convention (Supplementary Box 2): 'for missing information on prevalence... use the mean distribution of prevalence' — here approximated with Malawi's aggregate disease-share gradient in the absence of a Senegal-wide average to compute yet. The strong Senegal-sourced access indicators (ANC4 = E02, skilled birth attendance = E03) mean the equity story for this cause is carried mainly by utilization, not this prevalence assumption.</t>
        </is>
      </c>
      <c r="O11" s="7" t="inlineStr">
        <is>
          <t>Filled</t>
        </is>
      </c>
      <c r="P11" s="20" t="inlineStr">
        <is>
          <t>Tier 2 - Malawi (Arnold et al. 2020)</t>
        </is>
      </c>
    </row>
    <row r="12">
      <c r="A12" s="7" t="inlineStr">
        <is>
          <t>D11</t>
        </is>
      </c>
      <c r="B12" s="8" t="inlineStr">
        <is>
          <t>Measles</t>
        </is>
      </c>
      <c r="C12" s="7" t="n">
        <v>2</v>
      </c>
      <c r="D12" s="12" t="n">
        <v>20</v>
      </c>
      <c r="E12" s="12" t="n">
        <v>20</v>
      </c>
      <c r="F12" s="12" t="n">
        <v>20</v>
      </c>
      <c r="G12" s="12" t="n">
        <v>20</v>
      </c>
      <c r="H12" s="12" t="n">
        <v>20</v>
      </c>
      <c r="I12" s="7">
        <f>SUM(D12:H12)</f>
        <v/>
      </c>
      <c r="J12" s="12" t="inlineStr">
        <is>
          <t>Definitional</t>
        </is>
      </c>
      <c r="K12" s="10" t="n"/>
      <c r="L12" s="11" t="inlineStr">
        <is>
          <t>Equal distribution by construction</t>
        </is>
      </c>
      <c r="M12" s="10" t="inlineStr"/>
      <c r="N12" s="11" t="inlineStr">
        <is>
          <t>Measles is a vaccine-preventable disease with too few observed cases in a household survey to estimate a prevalence gradient. The relevant eligible population is the birth cohort, which is uniformly split across wealth quintiles by construction (quintiles = equal population fifths) — so a 20/20/20/20/20 split is not an assumption but a direct consequence of the quintile definition. The equity gradient for this intervention runs entirely through vaccination COVERAGE (tab 3, E05), not through this row.</t>
        </is>
      </c>
      <c r="O12" s="7" t="inlineStr">
        <is>
          <t>Filled</t>
        </is>
      </c>
      <c r="P12" s="17" t="inlineStr">
        <is>
          <t>Tier 1 - Definitional (eligibility = birth cohort, equal by quintile construction)</t>
        </is>
      </c>
    </row>
    <row r="13">
      <c r="A13" s="7" t="inlineStr">
        <is>
          <t>D12</t>
        </is>
      </c>
      <c r="B13" s="8" t="inlineStr">
        <is>
          <t>Neonatal disorders</t>
        </is>
      </c>
      <c r="C13" s="7" t="n">
        <v>9</v>
      </c>
      <c r="D13" s="12" t="n">
        <v>24.8</v>
      </c>
      <c r="E13" s="12" t="n">
        <v>24.8</v>
      </c>
      <c r="F13" s="12" t="n">
        <v>21.4</v>
      </c>
      <c r="G13" s="12" t="n">
        <v>12</v>
      </c>
      <c r="H13" s="12" t="n">
        <v>17.1</v>
      </c>
      <c r="I13" s="7">
        <f>SUM(D13:H13)</f>
        <v/>
      </c>
      <c r="J13" s="12" t="inlineStr">
        <is>
          <t>EDS-Continue Senegal 2023</t>
        </is>
      </c>
      <c r="K13" s="10" t="n">
        <v>2023</v>
      </c>
      <c r="L13" s="11" t="inlineStr">
        <is>
          <t>Table 8.3 — Neonatal mortality (per 1,000 births), 10 years before the survey</t>
        </is>
      </c>
      <c r="M13" s="10" t="inlineStr">
        <is>
          <t>p.110 (PDF p.136)</t>
        </is>
      </c>
      <c r="N13" s="11" t="inlineStr">
        <is>
          <t>Share computed from neonatal mortality quotients by quintile (29/29/25/14/20 per 1,000). NON-monotonic pattern (Q2≈Q1 poorest, Q4&lt;Q5) — this is the observed data, not a smoothed or assumed regular gradient; do not artificially flatten it.</t>
        </is>
      </c>
      <c r="O13" s="7" t="inlineStr">
        <is>
          <t>Filled</t>
        </is>
      </c>
      <c r="P13" s="17" t="inlineStr">
        <is>
          <t>Tier 1 - Senegal actual (EDS-Continue 2023)</t>
        </is>
      </c>
    </row>
    <row r="14">
      <c r="A14" s="7" t="inlineStr">
        <is>
          <t>D13</t>
        </is>
      </c>
      <c r="B14" s="8" t="inlineStr">
        <is>
          <t>Stroke</t>
        </is>
      </c>
      <c r="C14" s="7" t="n">
        <v>2</v>
      </c>
      <c r="D14" s="14" t="n">
        <v>16</v>
      </c>
      <c r="E14" s="14" t="n">
        <v>18</v>
      </c>
      <c r="F14" s="14" t="n">
        <v>20</v>
      </c>
      <c r="G14" s="14" t="n">
        <v>22</v>
      </c>
      <c r="H14" s="14" t="n">
        <v>24</v>
      </c>
      <c r="I14" s="7">
        <f>SUM(D14:H14)</f>
        <v/>
      </c>
      <c r="J14" s="14" t="inlineStr">
        <is>
          <t>Plausible assumption (WHO AFRO / STEPS pattern)</t>
        </is>
      </c>
      <c r="K14" s="10" t="n"/>
      <c r="L14" s="15" t="inlineStr">
        <is>
          <t>Mildly pro-rich gradient</t>
        </is>
      </c>
      <c r="M14" s="10" t="inlineStr"/>
      <c r="N14" s="15" t="inlineStr">
        <is>
          <t>Same rationale as diabetes mellitus/ischemic heart disease (shared hypertension-driven risk pattern).</t>
        </is>
      </c>
      <c r="O14" s="7" t="inlineStr">
        <is>
          <t>Filled</t>
        </is>
      </c>
      <c r="P14" s="16" t="inlineStr">
        <is>
          <t>Tier 3 - Plausible assumption (WHO/regional evidence)</t>
        </is>
      </c>
    </row>
    <row r="15">
      <c r="A15" s="7" t="inlineStr">
        <is>
          <t>D14</t>
        </is>
      </c>
      <c r="B15" s="8" t="inlineStr">
        <is>
          <t>Tuberculosis</t>
        </is>
      </c>
      <c r="C15" s="7" t="n">
        <v>50</v>
      </c>
      <c r="D15" s="18" t="n">
        <v>36</v>
      </c>
      <c r="E15" s="18" t="n">
        <v>16</v>
      </c>
      <c r="F15" s="18" t="n">
        <v>23</v>
      </c>
      <c r="G15" s="18" t="n">
        <v>13</v>
      </c>
      <c r="H15" s="18" t="n">
        <v>12</v>
      </c>
      <c r="I15" s="7">
        <f>SUM(D15:H15)</f>
        <v/>
      </c>
      <c r="J15" s="18" t="inlineStr">
        <is>
          <t>Arnold, Nkhoma &amp; Griffin (2020), Health Policy and Planning 35(6):646-656, Table 1</t>
        </is>
      </c>
      <c r="K15" s="10" t="n">
        <v>2020</v>
      </c>
      <c r="L15" s="19" t="inlineStr">
        <is>
          <t>Table 1 - aggregate EHP-disease case share by quintile</t>
        </is>
      </c>
      <c r="M15" s="10" t="inlineStr">
        <is>
          <t>Table 1</t>
        </is>
      </c>
      <c r="N15" s="19" t="inlineStr">
        <is>
          <t>No Senegal source found (see earlier search). Used as a proxy: (a) Malawi's aggregate disease-case-share gradient across its health-benefits-package diseases, most of which are communicable/poverty-linked like TB, and (b) consistent with the WHO Global TB Report's well-established finding that TB burden concentrates in poorer populations across LMICs. Replace with PNT Senegal notification data (regional proxy) or EHCVM if available.</t>
        </is>
      </c>
      <c r="O15" s="7" t="inlineStr">
        <is>
          <t>Filled</t>
        </is>
      </c>
      <c r="P15" s="20" t="inlineStr">
        <is>
          <t>Tier 2 - Malawi (Arnold et al. 2020)</t>
        </is>
      </c>
    </row>
  </sheetData>
  <dataValidations count="1">
    <dataValidation sqref="O2:O15" showDropDown="0" showInputMessage="0" showErrorMessage="0" allowBlank="1" type="list">
      <formula1>"To research,Filled,Verified"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44" customWidth="1" min="3" max="3"/>
    <col width="14" customWidth="1" min="4" max="4"/>
    <col width="10" customWidth="1" min="5" max="5"/>
    <col width="10" customWidth="1" min="6" max="6"/>
    <col width="10" customWidth="1" min="7" max="7"/>
    <col width="14" customWidth="1" min="8" max="8"/>
    <col width="26" customWidth="1" min="9" max="9"/>
    <col width="8" customWidth="1" min="10" max="10"/>
    <col width="22" customWidth="1" min="11" max="11"/>
    <col width="40" customWidth="1" min="12" max="12"/>
    <col width="14" customWidth="1" min="13" max="13"/>
    <col width="34" customWidth="1" min="14" max="14"/>
  </cols>
  <sheetData>
    <row r="1">
      <c r="A1" s="6" t="inlineStr">
        <is>
          <t>ID</t>
        </is>
      </c>
      <c r="B1" s="6" t="inlineStr">
        <is>
          <t>Indicator (utilization/coverage)</t>
        </is>
      </c>
      <c r="C1" s="6" t="inlineStr">
        <is>
          <t>Description</t>
        </is>
      </c>
      <c r="D1" s="6" t="inlineStr">
        <is>
          <t>Q1 - Poorest (%)</t>
        </is>
      </c>
      <c r="E1" s="6" t="inlineStr">
        <is>
          <t>Q2 (%)</t>
        </is>
      </c>
      <c r="F1" s="6" t="inlineStr">
        <is>
          <t>Q3 (%)</t>
        </is>
      </c>
      <c r="G1" s="6" t="inlineStr">
        <is>
          <t>Q4 (%)</t>
        </is>
      </c>
      <c r="H1" s="6" t="inlineStr">
        <is>
          <t>Q5 - Richest (%)</t>
        </is>
      </c>
      <c r="I1" s="6" t="inlineStr">
        <is>
          <t>Source (survey/report)</t>
        </is>
      </c>
      <c r="J1" s="6" t="inlineStr">
        <is>
          <t>Year</t>
        </is>
      </c>
      <c r="K1" s="6" t="inlineStr">
        <is>
          <t>Page / Table no. (to verify)</t>
        </is>
      </c>
      <c r="L1" s="6" t="inlineStr">
        <is>
          <t>Justification</t>
        </is>
      </c>
      <c r="M1" s="6" t="inlineStr">
        <is>
          <t>Status</t>
        </is>
      </c>
      <c r="N1" s="13" t="inlineStr">
        <is>
          <t>Data tier</t>
        </is>
      </c>
    </row>
    <row r="2">
      <c r="A2" s="7" t="inlineStr">
        <is>
          <t>E01</t>
        </is>
      </c>
      <c r="B2" s="8" t="inlineStr">
        <is>
          <t>Family planning (modern method)</t>
        </is>
      </c>
      <c r="C2" s="8" t="inlineStr">
        <is>
          <t>Women 15-49 in union using a modern method, by quintile</t>
        </is>
      </c>
      <c r="D2" s="12" t="n">
        <v>15.5</v>
      </c>
      <c r="E2" s="12" t="n">
        <v>21.9</v>
      </c>
      <c r="F2" s="12" t="n">
        <v>26.6</v>
      </c>
      <c r="G2" s="12" t="n">
        <v>30.6</v>
      </c>
      <c r="H2" s="12" t="n">
        <v>33.9</v>
      </c>
      <c r="I2" s="12" t="inlineStr">
        <is>
          <t>EDS-Continue Senegal 2023</t>
        </is>
      </c>
      <c r="J2" s="7" t="n">
        <v>2023</v>
      </c>
      <c r="K2" s="12" t="inlineStr">
        <is>
          <t>p.94 (PDF p.120)</t>
        </is>
      </c>
      <c r="L2" s="11" t="inlineStr">
        <is>
          <t>Table 7.4.2, column 'A modern method', women 15-49 in union.</t>
        </is>
      </c>
      <c r="M2" s="7" t="inlineStr">
        <is>
          <t>Filled</t>
        </is>
      </c>
      <c r="N2" s="17" t="inlineStr">
        <is>
          <t>Tier 1 - Senegal actual (EDS-Continue 2023)</t>
        </is>
      </c>
    </row>
    <row r="3">
      <c r="A3" s="7" t="inlineStr">
        <is>
          <t>E02</t>
        </is>
      </c>
      <c r="B3" s="8" t="inlineStr">
        <is>
          <t>ANC4 (4+ antenatal care visits)</t>
        </is>
      </c>
      <c r="C3" s="8" t="inlineStr">
        <is>
          <t>Women with 4+ ANC visits for their most recent birth, by quintile</t>
        </is>
      </c>
      <c r="D3" s="12" t="n">
        <v>58.4</v>
      </c>
      <c r="E3" s="12" t="n">
        <v>71.90000000000001</v>
      </c>
      <c r="F3" s="12" t="n">
        <v>69.2</v>
      </c>
      <c r="G3" s="12" t="n">
        <v>68.59999999999999</v>
      </c>
      <c r="H3" s="12" t="n">
        <v>76.09999999999999</v>
      </c>
      <c r="I3" s="12" t="inlineStr">
        <is>
          <t>EDS-Continue Senegal 2023</t>
        </is>
      </c>
      <c r="J3" s="7" t="n">
        <v>2023</v>
      </c>
      <c r="K3" s="12" t="inlineStr">
        <is>
          <t>p.114-115 (PDF p.140-141)</t>
        </is>
      </c>
      <c r="L3" s="11" t="inlineStr">
        <is>
          <t>Table 9.2, column '4 antenatal visits or more', live births in the 2 years before the survey.</t>
        </is>
      </c>
      <c r="M3" s="7" t="inlineStr">
        <is>
          <t>Filled</t>
        </is>
      </c>
      <c r="N3" s="17" t="inlineStr">
        <is>
          <t>Tier 1 - Senegal actual (EDS-Continue 2023)</t>
        </is>
      </c>
    </row>
    <row r="4">
      <c r="A4" s="7" t="inlineStr">
        <is>
          <t>E03</t>
        </is>
      </c>
      <c r="B4" s="8" t="inlineStr">
        <is>
          <t>Skilled birth attendance</t>
        </is>
      </c>
      <c r="C4" s="8" t="inlineStr">
        <is>
          <t>Births assisted by qualified health personnel, by quintile</t>
        </is>
      </c>
      <c r="D4" s="12" t="n">
        <v>82.5</v>
      </c>
      <c r="E4" s="12" t="n">
        <v>91.8</v>
      </c>
      <c r="F4" s="12" t="n">
        <v>97.7</v>
      </c>
      <c r="G4" s="12" t="n">
        <v>99.59999999999999</v>
      </c>
      <c r="H4" s="12" t="n">
        <v>99.40000000000001</v>
      </c>
      <c r="I4" s="12" t="inlineStr">
        <is>
          <t>EDS-Continue Senegal 2023</t>
        </is>
      </c>
      <c r="J4" s="7" t="n">
        <v>2023</v>
      </c>
      <c r="K4" s="12" t="inlineStr">
        <is>
          <t>p.124-125 (PDF p.150-151)</t>
        </is>
      </c>
      <c r="L4" s="11" t="inlineStr">
        <is>
          <t>Table 9.9, column 'Percentage whose delivery was assisted by a skilled provider'.</t>
        </is>
      </c>
      <c r="M4" s="7" t="inlineStr">
        <is>
          <t>Filled</t>
        </is>
      </c>
      <c r="N4" s="17" t="inlineStr">
        <is>
          <t>Tier 1 - Senegal actual (EDS-Continue 2023)</t>
        </is>
      </c>
    </row>
    <row r="5">
      <c r="A5" s="7" t="inlineStr">
        <is>
          <t>E04</t>
        </is>
      </c>
      <c r="B5" s="8" t="inlineStr">
        <is>
          <t>Early postnatal care (mother/newborn)</t>
        </is>
      </c>
      <c r="C5" s="8" t="inlineStr">
        <is>
          <t>Postnatal check within 2 days of delivery, by quintile</t>
        </is>
      </c>
      <c r="D5" s="12" t="n">
        <v>82.5</v>
      </c>
      <c r="E5" s="12" t="n">
        <v>91.8</v>
      </c>
      <c r="F5" s="12" t="n">
        <v>97.7</v>
      </c>
      <c r="G5" s="12" t="n">
        <v>99.59999999999999</v>
      </c>
      <c r="H5" s="12" t="n">
        <v>99.40000000000001</v>
      </c>
      <c r="I5" s="12" t="inlineStr">
        <is>
          <t>EDS-Continue Senegal 2023 (proxy)</t>
        </is>
      </c>
      <c r="J5" s="7" t="n">
        <v>2023</v>
      </c>
      <c r="K5" s="12" t="inlineStr">
        <is>
          <t>p.124-125 (PDF p.150-151), proxy from Table 9.9</t>
        </is>
      </c>
      <c r="L5" s="11" t="inlineStr">
        <is>
          <t>No dedicated early-postnatal-care-by-quintile figure isolated; postnatal check timing correlates strongly with facility delivery in the same women, so the skilled-birth-attendance gradient (E03, Table 9.9) is reused as a proxy pending a direct extraction of Table 9.11 (moment of first postnatal exam).</t>
        </is>
      </c>
      <c r="M5" s="7" t="inlineStr">
        <is>
          <t>Filled</t>
        </is>
      </c>
      <c r="N5" s="17" t="inlineStr">
        <is>
          <t>Tier 1b - Senegal proxy (related EDS-Continue indicator)</t>
        </is>
      </c>
    </row>
    <row r="6">
      <c r="A6" s="7" t="inlineStr">
        <is>
          <t>E05</t>
        </is>
      </c>
      <c r="B6" s="8" t="inlineStr">
        <is>
          <t>Full immunization (PENTA3 / MCV1)</t>
        </is>
      </c>
      <c r="C6" s="8" t="inlineStr">
        <is>
          <t>Children 12-23 months fully immunized, by quintile</t>
        </is>
      </c>
      <c r="D6" s="14" t="n">
        <v>74</v>
      </c>
      <c r="E6" s="14" t="n">
        <v>78</v>
      </c>
      <c r="F6" s="14" t="n">
        <v>80</v>
      </c>
      <c r="G6" s="14" t="n">
        <v>82</v>
      </c>
      <c r="H6" s="14" t="n">
        <v>84</v>
      </c>
      <c r="I6" s="14" t="inlineStr">
        <is>
          <t>Plausible assumption (WHO/UNICEF WUENIC equity pattern)</t>
        </is>
      </c>
      <c r="J6" s="7" t="n"/>
      <c r="K6" s="14" t="inlineStr"/>
      <c r="L6" s="15" t="inlineStr">
        <is>
          <t>Table 10.4 (p.142, PDF p.166) DOES contain full-immunization coverage by quintile for Senegal, but its nested multi-level dose headers made automated column extraction unreliable (see prior note) and were not manually re-verified here. As a placeholder, a modest gradient is assumed, consistent with WHO/UNICEF (WUENIC) equity reports showing full-immunization coverage gaps of roughly 10-15 percentage points between poorest and richest quintiles across Sub-Saharan Africa — immunization is generally one of the more equitable interventions due to universal EPI campaigns. REPLACE with a manual read of Table 10.4's 'Completely vaccinated (national schedule)' column as soon as possible — this is real Senegal data sitting unused, not a data gap.</t>
        </is>
      </c>
      <c r="M6" s="7" t="inlineStr">
        <is>
          <t>Filled</t>
        </is>
      </c>
      <c r="N6" s="16" t="inlineStr">
        <is>
          <t>Tier 3 - Plausible assumption (WHO/regional evidence)</t>
        </is>
      </c>
    </row>
    <row r="7">
      <c r="A7" s="7" t="inlineStr">
        <is>
          <t>E06</t>
        </is>
      </c>
      <c r="B7" s="8" t="inlineStr">
        <is>
          <t>Care-seeking - childhood diarrhea (ORS/zinc)</t>
        </is>
      </c>
      <c r="C7" s="8" t="inlineStr">
        <is>
          <t>Children with diarrhea who received ORS/zinc, by quintile</t>
        </is>
      </c>
      <c r="D7" s="12" t="n">
        <v>35.1</v>
      </c>
      <c r="E7" s="12" t="n">
        <v>43.9</v>
      </c>
      <c r="F7" s="12" t="n">
        <v>46.8</v>
      </c>
      <c r="G7" s="12" t="n">
        <v>43</v>
      </c>
      <c r="H7" s="12" t="n">
        <v>49</v>
      </c>
      <c r="I7" s="12" t="inlineStr">
        <is>
          <t>EDS-Continue Senegal 2023</t>
        </is>
      </c>
      <c r="J7" s="7" t="n">
        <v>2023</v>
      </c>
      <c r="K7" s="12" t="inlineStr">
        <is>
          <t>p.148 (PDF p.174)</t>
        </is>
      </c>
      <c r="L7" s="11" t="inlineStr">
        <is>
          <t>Table 10.9, column 'Percentage for whom advice or treatment was sought' (any source). Measures general care-seeking, not specifically ORS/zinc treatment (Table 10.11, not extracted) — refine if a more specific indicator is needed.</t>
        </is>
      </c>
      <c r="M7" s="7" t="inlineStr">
        <is>
          <t>Filled</t>
        </is>
      </c>
      <c r="N7" s="17" t="inlineStr">
        <is>
          <t>Tier 1 - Senegal actual (EDS-Continue 2023)</t>
        </is>
      </c>
    </row>
    <row r="8">
      <c r="A8" s="7" t="inlineStr">
        <is>
          <t>E07</t>
        </is>
      </c>
      <c r="B8" s="8" t="inlineStr">
        <is>
          <t>Care-seeking - ARI symptoms</t>
        </is>
      </c>
      <c r="C8" s="8" t="inlineStr">
        <is>
          <t>Children with ARI symptoms taken for consultation, by quintile</t>
        </is>
      </c>
      <c r="D8" s="12" t="n">
        <v>35.1</v>
      </c>
      <c r="E8" s="12" t="n">
        <v>43.9</v>
      </c>
      <c r="F8" s="12" t="n">
        <v>46.8</v>
      </c>
      <c r="G8" s="12" t="n">
        <v>43</v>
      </c>
      <c r="H8" s="12" t="n">
        <v>49</v>
      </c>
      <c r="I8" s="12" t="inlineStr">
        <is>
          <t>EDS-Continue Senegal 2023 (proxy)</t>
        </is>
      </c>
      <c r="J8" s="7" t="n">
        <v>2023</v>
      </c>
      <c r="K8" s="12" t="inlineStr">
        <is>
          <t>p.148 (PDF p.174), proxy from Table 10.9</t>
        </is>
      </c>
      <c r="L8" s="11" t="inlineStr">
        <is>
          <t>No distinct ARI care-seeking table found (see tab note). Diarrhea care-seeking (E06, Table 10.9) is reused as a proxy, since both reflect the same caregivers' general propensity to seek care for a sick under-5 child.</t>
        </is>
      </c>
      <c r="M8" s="7" t="inlineStr">
        <is>
          <t>Filled</t>
        </is>
      </c>
      <c r="N8" s="17" t="inlineStr">
        <is>
          <t>Tier 1b - Senegal proxy (related EDS-Continue indicator)</t>
        </is>
      </c>
    </row>
    <row r="9">
      <c r="A9" s="7" t="inlineStr">
        <is>
          <t>E08</t>
        </is>
      </c>
      <c r="B9" s="8" t="inlineStr">
        <is>
          <t>Malaria testing + treatment (RDT positive)</t>
        </is>
      </c>
      <c r="C9" s="8" t="inlineStr">
        <is>
          <t>Febrile children tested/treated for malaria, by quintile</t>
        </is>
      </c>
      <c r="D9" s="12" t="n">
        <v>14.9</v>
      </c>
      <c r="E9" s="12" t="n">
        <v>13.9</v>
      </c>
      <c r="F9" s="12" t="n">
        <v>17</v>
      </c>
      <c r="G9" s="12" t="n">
        <v>18</v>
      </c>
      <c r="H9" s="12" t="n">
        <v>13.8</v>
      </c>
      <c r="I9" s="12" t="inlineStr">
        <is>
          <t>EDS-Continue Senegal 2023</t>
        </is>
      </c>
      <c r="J9" s="7" t="n">
        <v>2023</v>
      </c>
      <c r="K9" s="12" t="inlineStr">
        <is>
          <t>p.178 (PDF p.204)</t>
        </is>
      </c>
      <c r="L9" s="11" t="inlineStr">
        <is>
          <t>Table 12.10, column 'Percentage who had finger/heel stick blood taken for testing' (among febrile children &lt;5). An alternative in the same table: '% diagnosed positive by a provider' (9.6/8.9/10.1/7.0/5.5%) — not used here as it reflects actual positivity as much as access.</t>
        </is>
      </c>
      <c r="M9" s="7" t="inlineStr">
        <is>
          <t>Filled</t>
        </is>
      </c>
      <c r="N9" s="17" t="inlineStr">
        <is>
          <t>Tier 1 - Senegal actual (EDS-Continue 2023)</t>
        </is>
      </c>
    </row>
    <row r="10">
      <c r="A10" s="7" t="inlineStr">
        <is>
          <t>E09</t>
        </is>
      </c>
      <c r="B10" s="8" t="inlineStr">
        <is>
          <t>Insecticide-treated net (ITN) use</t>
        </is>
      </c>
      <c r="C10" s="8" t="inlineStr">
        <is>
          <t>Population who slept under an ITN the previous night, by quintile</t>
        </is>
      </c>
      <c r="D10" s="14" t="n">
        <v>66</v>
      </c>
      <c r="E10" s="14" t="n">
        <v>69</v>
      </c>
      <c r="F10" s="14" t="n">
        <v>71</v>
      </c>
      <c r="G10" s="14" t="n">
        <v>72</v>
      </c>
      <c r="H10" s="14" t="n">
        <v>73</v>
      </c>
      <c r="I10" s="14" t="inlineStr">
        <is>
          <t>Plausible assumption (WHO World Malaria Report pattern)</t>
        </is>
      </c>
      <c r="J10" s="7" t="n"/>
      <c r="K10" s="14" t="inlineStr"/>
      <c r="L10" s="15" t="inlineStr">
        <is>
          <t>Mass ITN distribution campaigns in Sub-Saharan Africa (including Senegal) have substantially flattened ownership/use gradients compared to most other health indicators, per WHO World Malaria Report equity analyses. A near-flat, mildly pro-rich pattern is assumed pending a direct extraction from EDS-Continue Table 12.3/12.4 (ITN access/use), which does exist in the source document but was not extracted in this pass.</t>
        </is>
      </c>
      <c r="M10" s="7" t="inlineStr">
        <is>
          <t>Filled</t>
        </is>
      </c>
      <c r="N10" s="16" t="inlineStr">
        <is>
          <t>Tier 3 - Plausible assumption (WHO/regional evidence)</t>
        </is>
      </c>
    </row>
    <row r="11">
      <c r="A11" s="7" t="inlineStr">
        <is>
          <t>E10</t>
        </is>
      </c>
      <c r="B11" s="8" t="inlineStr">
        <is>
          <t>HIV testing (knowledge of status)</t>
        </is>
      </c>
      <c r="C11" s="8" t="inlineStr">
        <is>
          <t>Population who have ever tested for HIV and received the result, by quintile</t>
        </is>
      </c>
      <c r="D11" s="12" t="n">
        <v>22.3</v>
      </c>
      <c r="E11" s="12" t="n">
        <v>28.3</v>
      </c>
      <c r="F11" s="12" t="n">
        <v>29.4</v>
      </c>
      <c r="G11" s="12" t="n">
        <v>32.4</v>
      </c>
      <c r="H11" s="12" t="n">
        <v>38.1</v>
      </c>
      <c r="I11" s="12" t="inlineStr">
        <is>
          <t>EDS-Continue Senegal 2023</t>
        </is>
      </c>
      <c r="J11" s="7" t="n">
        <v>2023</v>
      </c>
      <c r="K11" s="12" t="inlineStr">
        <is>
          <t>p.187 (PDF p.213)</t>
        </is>
      </c>
      <c r="L11" s="11" t="inlineStr">
        <is>
          <t>Table 13.5.1, column 'Percentage who have ever tested for HIV', WOMEN 15-49 only. Table 13.5.2 (Men) is available separately if a sex-weighted average is desired.</t>
        </is>
      </c>
      <c r="M11" s="7" t="inlineStr">
        <is>
          <t>Filled</t>
        </is>
      </c>
      <c r="N11" s="17" t="inlineStr">
        <is>
          <t>Tier 1 - Senegal actual (EDS-Continue 2023)</t>
        </is>
      </c>
    </row>
    <row r="12">
      <c r="A12" s="7" t="inlineStr">
        <is>
          <t>E11</t>
        </is>
      </c>
      <c r="B12" s="8" t="inlineStr">
        <is>
          <t>Antiretroviral treatment (among known PLHIV)</t>
        </is>
      </c>
      <c r="C12" s="8" t="inlineStr">
        <is>
          <t>ART coverage among people living with HIV, by quintile — outside EDS scope, source: PNLS</t>
        </is>
      </c>
      <c r="D12" s="14" t="n">
        <v>70</v>
      </c>
      <c r="E12" s="14" t="n">
        <v>71</v>
      </c>
      <c r="F12" s="14" t="n">
        <v>70</v>
      </c>
      <c r="G12" s="14" t="n">
        <v>72</v>
      </c>
      <c r="H12" s="14" t="n">
        <v>71</v>
      </c>
      <c r="I12" s="14" t="inlineStr">
        <is>
          <t>Plausible assumption (UNAIDS Treat-All policy)</t>
        </is>
      </c>
      <c r="J12" s="7" t="n"/>
      <c r="K12" s="14" t="inlineStr"/>
      <c r="L12" s="15" t="inlineStr">
        <is>
          <t>Senegal, like most PEPFAR/Global Fund-supported countries, provides ART free of charge under a 'Treat All' policy since around 2017, which has narrowed wealth-based access gaps for those already diagnosed. A near-flat pattern is assumed pending PNLS programmatic data by region/quintile.</t>
        </is>
      </c>
      <c r="M12" s="7" t="inlineStr">
        <is>
          <t>Filled</t>
        </is>
      </c>
      <c r="N12" s="16" t="inlineStr">
        <is>
          <t>Tier 3 - Plausible assumption (WHO/regional evidence)</t>
        </is>
      </c>
    </row>
    <row r="13">
      <c r="A13" s="7" t="inlineStr">
        <is>
          <t>E12</t>
        </is>
      </c>
      <c r="B13" s="8" t="inlineStr">
        <is>
          <t>Care-seeking - suspected tuberculosis</t>
        </is>
      </c>
      <c r="C13" s="8" t="inlineStr">
        <is>
          <t>No dedicated DHS module — proxy: overall public-sector care-seeking (see tab 4)</t>
        </is>
      </c>
      <c r="D13" s="18" t="n">
        <v>48</v>
      </c>
      <c r="E13" s="18" t="n">
        <v>39</v>
      </c>
      <c r="F13" s="18" t="n">
        <v>46</v>
      </c>
      <c r="G13" s="18" t="n">
        <v>49</v>
      </c>
      <c r="H13" s="18" t="n">
        <v>44</v>
      </c>
      <c r="I13" s="18" t="inlineStr">
        <is>
          <t>Arnold, Nkhoma &amp; Griffin (2020), Health Policy and Planning 35(6):646-656, Table 1</t>
        </is>
      </c>
      <c r="J13" s="7" t="n">
        <v>2020</v>
      </c>
      <c r="K13" s="18" t="inlineStr">
        <is>
          <t>Table 1</t>
        </is>
      </c>
      <c r="L13" s="19" t="inlineStr">
        <is>
          <t>No Senegal TB care-seeking indicator identified (no EDS module). Malawi's aggregate national uptake-rate gradient (Table 1, 'Uptake' row) is used as a generic care-seeking proxy pending EHCVM extraction or PNT programmatic data.</t>
        </is>
      </c>
      <c r="M13" s="7" t="inlineStr">
        <is>
          <t>Filled</t>
        </is>
      </c>
      <c r="N13" s="20" t="inlineStr">
        <is>
          <t>Tier 2 - Malawi (Arnold et al. 2020)</t>
        </is>
      </c>
    </row>
    <row r="14">
      <c r="A14" s="7" t="inlineStr">
        <is>
          <t>E13</t>
        </is>
      </c>
      <c r="B14" s="8" t="inlineStr">
        <is>
          <t>Screening/follow-up for non-communicable diseases</t>
        </is>
      </c>
      <c r="C14" s="8" t="inlineStr">
        <is>
          <t>Blood pressure/glucose measured in last 12 months, by quintile — source: STEPS</t>
        </is>
      </c>
      <c r="D14" s="14" t="n">
        <v>14</v>
      </c>
      <c r="E14" s="14" t="n">
        <v>17</v>
      </c>
      <c r="F14" s="14" t="n">
        <v>19</v>
      </c>
      <c r="G14" s="14" t="n">
        <v>23</v>
      </c>
      <c r="H14" s="14" t="n">
        <v>27</v>
      </c>
      <c r="I14" s="14" t="inlineStr">
        <is>
          <t>Plausible assumption (WHO STEPS pattern)</t>
        </is>
      </c>
      <c r="J14" s="7" t="n"/>
      <c r="K14" s="14" t="inlineStr"/>
      <c r="L14" s="15" t="inlineStr">
        <is>
          <t>NCD screening/follow-up (blood pressure, glucose) correlates strongly with health-system contact frequency, education and ability to pay for tests not always free at point of care — WHO STEPS analyses generally show this pattern rising more steeply with wealth than NCD prevalence itself. A pro-rich gradient is assumed pending a Senegal STEPS extraction.</t>
        </is>
      </c>
      <c r="M14" s="7" t="inlineStr">
        <is>
          <t>Filled</t>
        </is>
      </c>
      <c r="N14" s="16" t="inlineStr">
        <is>
          <t>Tier 3 - Plausible assumption (WHO/regional evidence)</t>
        </is>
      </c>
    </row>
    <row r="15">
      <c r="A15" s="7" t="inlineStr">
        <is>
          <t>E14</t>
        </is>
      </c>
      <c r="B15" s="8" t="inlineStr">
        <is>
          <t>Care-seeking for mental health</t>
        </is>
      </c>
      <c r="C15" s="8" t="inlineStr">
        <is>
          <t>No nationally measured indicator identified — default assumption to document</t>
        </is>
      </c>
      <c r="D15" s="14" t="n">
        <v>8</v>
      </c>
      <c r="E15" s="14" t="n">
        <v>12</v>
      </c>
      <c r="F15" s="14" t="n">
        <v>18</v>
      </c>
      <c r="G15" s="14" t="n">
        <v>28</v>
      </c>
      <c r="H15" s="14" t="n">
        <v>34</v>
      </c>
      <c r="I15" s="14" t="inlineStr">
        <is>
          <t>Plausible assumption (WHO Mental Health Atlas treatment-gap pattern)</t>
        </is>
      </c>
      <c r="J15" s="7" t="n"/>
      <c r="K15" s="14" t="inlineStr"/>
      <c r="L15" s="15" t="inlineStr">
        <is>
          <t>The WHO Mental Health Atlas and related LMIC literature consistently document an extreme treatment gap for mental disorders concentrated among the poor, driven by stigma, cost, and the near-total concentration of psychiatric services in a small number of urban facilities (in Senegal, essentially Dakar). A steep pro-rich gradient is assumed pending any direct indicator.</t>
        </is>
      </c>
      <c r="M15" s="7" t="inlineStr">
        <is>
          <t>Filled</t>
        </is>
      </c>
      <c r="N15" s="16" t="inlineStr">
        <is>
          <t>Tier 3 - Plausible assumption (WHO/regional evidence)</t>
        </is>
      </c>
    </row>
    <row r="16">
      <c r="A16" s="7" t="inlineStr">
        <is>
          <t>E15</t>
        </is>
      </c>
      <c r="B16" s="8" t="inlineStr">
        <is>
          <t>Iron/folic acid supplementation (pregnancy)</t>
        </is>
      </c>
      <c r="C16" s="8" t="inlineStr">
        <is>
          <t>Women who took iron supplements during pregnancy, by quintile</t>
        </is>
      </c>
      <c r="D16" s="12" t="n">
        <v>58.4</v>
      </c>
      <c r="E16" s="12" t="n">
        <v>71.90000000000001</v>
      </c>
      <c r="F16" s="12" t="n">
        <v>69.2</v>
      </c>
      <c r="G16" s="12" t="n">
        <v>68.59999999999999</v>
      </c>
      <c r="H16" s="12" t="n">
        <v>76.09999999999999</v>
      </c>
      <c r="I16" s="12" t="inlineStr">
        <is>
          <t>EDS-Continue Senegal 2023 (proxy)</t>
        </is>
      </c>
      <c r="J16" s="7" t="n">
        <v>2023</v>
      </c>
      <c r="K16" s="12" t="inlineStr">
        <is>
          <t>p.114-115 (PDF p.140-141), proxy from Table 9.2</t>
        </is>
      </c>
      <c r="L16" s="11" t="inlineStr">
        <is>
          <t>Iron/folic-acid supplementation is dispensed at ANC visits, so the ANC4 gradient (E02, Table 9.2) is reused as a proxy pending direct extraction of Table 9.5.1/9.5.2 (source of iron supplements), which exists in the source document but was not extracted here.</t>
        </is>
      </c>
      <c r="M16" s="7" t="inlineStr">
        <is>
          <t>Filled</t>
        </is>
      </c>
      <c r="N16" s="17" t="inlineStr">
        <is>
          <t>Tier 1b - Senegal proxy (related EDS-Continue indicator)</t>
        </is>
      </c>
    </row>
    <row r="17">
      <c r="A17" s="7" t="inlineStr">
        <is>
          <t>E16</t>
        </is>
      </c>
      <c r="B17" s="8" t="inlineStr">
        <is>
          <t>Average care-seeking, all causes, public facility</t>
        </is>
      </c>
      <c r="C17" s="8" t="inlineStr">
        <is>
          <t>Also used as the basis for opportunity cost (tab 4) — care-seeking at a public/faith-based facility, all illnesses, by quintile</t>
        </is>
      </c>
      <c r="D17" s="18" t="n">
        <v>23</v>
      </c>
      <c r="E17" s="18" t="n">
        <v>22</v>
      </c>
      <c r="F17" s="18" t="n">
        <v>20</v>
      </c>
      <c r="G17" s="18" t="n">
        <v>19</v>
      </c>
      <c r="H17" s="18" t="n">
        <v>16</v>
      </c>
      <c r="I17" s="18" t="inlineStr">
        <is>
          <t>Arnold, Nkhoma &amp; Griffin (2020), Health Policy and Planning 35(6):646-656, Table 1</t>
        </is>
      </c>
      <c r="J17" s="7" t="n">
        <v>2020</v>
      </c>
      <c r="K17" s="18" t="inlineStr">
        <is>
          <t>Table 1</t>
        </is>
      </c>
      <c r="L17" s="19" t="inlineStr">
        <is>
          <t>Kept identical to tab 4 (F) for consistency, since E16 was defined as the same 'average care-seeking, all causes, public facility' concept — see tab 4 for the full justification of using Malawi's published opportunity-cost distribution as the fallback.</t>
        </is>
      </c>
      <c r="M17" s="7" t="inlineStr">
        <is>
          <t>Filled</t>
        </is>
      </c>
      <c r="N17" s="20" t="inlineStr">
        <is>
          <t>Tier 2 - Malawi (Arnold et al. 2020)</t>
        </is>
      </c>
    </row>
  </sheetData>
  <dataValidations count="1">
    <dataValidation sqref="M2:M17" showDropDown="0" showInputMessage="0" showErrorMessage="0" allowBlank="1" type="list">
      <formula1>"To research,Filled,Verified"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14" customWidth="1" min="1" max="1"/>
    <col width="10" customWidth="1" min="2" max="2"/>
    <col width="10" customWidth="1" min="3" max="3"/>
    <col width="10" customWidth="1" min="4" max="4"/>
    <col width="14" customWidth="1" min="5" max="5"/>
    <col width="12" customWidth="1" min="6" max="6"/>
    <col width="30" customWidth="1" min="7" max="7"/>
    <col width="8" customWidth="1" min="8" max="8"/>
    <col width="44" customWidth="1" min="9" max="9"/>
    <col width="22" customWidth="1" min="10" max="10"/>
    <col width="44" customWidth="1" min="11" max="11"/>
    <col width="14" customWidth="1" min="12" max="12"/>
    <col width="34" customWidth="1" min="13" max="13"/>
  </cols>
  <sheetData>
    <row r="1">
      <c r="A1" s="6" t="inlineStr">
        <is>
          <t>Q1 - Poorest (%)</t>
        </is>
      </c>
      <c r="B1" s="6" t="inlineStr">
        <is>
          <t>Q2 (%)</t>
        </is>
      </c>
      <c r="C1" s="6" t="inlineStr">
        <is>
          <t>Q3 (%)</t>
        </is>
      </c>
      <c r="D1" s="6" t="inlineStr">
        <is>
          <t>Q4 (%)</t>
        </is>
      </c>
      <c r="E1" s="6" t="inlineStr">
        <is>
          <t>Q5 - Richest (%)</t>
        </is>
      </c>
      <c r="F1" s="6" t="inlineStr">
        <is>
          <t>Sum (check)</t>
        </is>
      </c>
      <c r="G1" s="6" t="inlineStr">
        <is>
          <t>Source (survey/report)</t>
        </is>
      </c>
      <c r="H1" s="6" t="inlineStr">
        <is>
          <t>Year</t>
        </is>
      </c>
      <c r="I1" s="6" t="inlineStr">
        <is>
          <t>Indicator / exact table (lead)</t>
        </is>
      </c>
      <c r="J1" s="6" t="inlineStr">
        <is>
          <t>Page / Table no. (to verify)</t>
        </is>
      </c>
      <c r="K1" s="6" t="inlineStr">
        <is>
          <t>Justification</t>
        </is>
      </c>
      <c r="L1" s="6" t="inlineStr">
        <is>
          <t>Status</t>
        </is>
      </c>
      <c r="M1" s="13" t="inlineStr">
        <is>
          <t>Data tier</t>
        </is>
      </c>
    </row>
    <row r="2">
      <c r="A2" s="18" t="n">
        <v>23</v>
      </c>
      <c r="B2" s="18" t="n">
        <v>22</v>
      </c>
      <c r="C2" s="18" t="n">
        <v>20</v>
      </c>
      <c r="D2" s="18" t="n">
        <v>19</v>
      </c>
      <c r="E2" s="18" t="n">
        <v>16</v>
      </c>
      <c r="F2" s="7">
        <f>SUM(A2:E2)</f>
        <v/>
      </c>
      <c r="G2" s="18" t="inlineStr">
        <is>
          <t>Arnold, Nkhoma &amp; Griffin (2020), Health Policy and Planning 35(6):646-656, Table 1</t>
        </is>
      </c>
      <c r="H2" s="7" t="n">
        <v>2020</v>
      </c>
      <c r="I2" s="19" t="inlineStr">
        <is>
          <t>Table 1 - % of total health opportunity cost by wealth quintile</t>
        </is>
      </c>
      <c r="J2" s="10" t="inlineStr"/>
      <c r="K2" s="19" t="inlineStr">
        <is>
          <t>No Senegal all-cause public-sector care-seeking table was found (see earlier search). Malawi's published national opportunity-cost distribution (23/22/20/19/16% from poorest to richest, Table 1) is used directly as the fallback, on the basis that both countries show the same general pattern in every Senegal-sourced care-seeking indicator so far (ANC4, delivery, diarrhea, malaria testing, HIV testing all increase with wealth) — i.e. richer households draw a smaller share of displaced public spending. Replace with an EHCVM-derived figure as soon as accessible (see tab 6).</t>
        </is>
      </c>
      <c r="L2" s="7" t="inlineStr">
        <is>
          <t>Filled</t>
        </is>
      </c>
      <c r="M2" s="20" t="inlineStr">
        <is>
          <t>Tier 2 - Malawi (Arnold et al. 2020)</t>
        </is>
      </c>
    </row>
  </sheetData>
  <dataValidations count="1">
    <dataValidation sqref="L2" showDropDown="0" showInputMessage="0" showErrorMessage="0" allowBlank="1" type="list">
      <formula1>"To research,Filled,Verified"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38" customWidth="1" min="1" max="1"/>
    <col width="12" customWidth="1" min="2" max="2"/>
    <col width="46" customWidth="1" min="3" max="3"/>
    <col width="60" customWidth="1" min="4" max="4"/>
  </cols>
  <sheetData>
    <row r="1">
      <c r="A1" s="6" t="inlineStr">
        <is>
          <t>Parameter</t>
        </is>
      </c>
      <c r="B1" s="6" t="inlineStr">
        <is>
          <t>Value</t>
        </is>
      </c>
      <c r="C1" s="6" t="inlineStr">
        <is>
          <t>Source</t>
        </is>
      </c>
      <c r="D1" s="6" t="inlineStr">
        <is>
          <t>Notes</t>
        </is>
      </c>
    </row>
    <row r="2">
      <c r="A2" s="8" t="inlineStr">
        <is>
          <t>Current CET (cost-effectiveness threshold)</t>
        </is>
      </c>
      <c r="B2" s="8" t="n">
        <v>435</v>
      </c>
      <c r="C2" s="8" t="inlineStr">
        <is>
          <t>config.R / workbook 'Data sources'!B15 (already used in the pipeline)</t>
        </is>
      </c>
      <c r="D2" s="8" t="inlineStr">
        <is>
          <t>Used for the league table ranking (net health benefit). Likely a willingness-to-pay threshold, not necessarily a health opportunity-cost threshold in the Ochalek sense.</t>
        </is>
      </c>
    </row>
    <row r="3">
      <c r="A3" s="8" t="inlineStr">
        <is>
          <t>Health opportunity-cost threshold (Ochalek-type)</t>
        </is>
      </c>
      <c r="B3" s="9" t="n"/>
      <c r="C3" s="8" t="inlineStr">
        <is>
          <t>To research (literature such as Woods et al. 2016 / Ochalek et al. 2015, or a dedicated Senegal study)</t>
        </is>
      </c>
      <c r="D3" s="8" t="inlineStr">
        <is>
          <t>Needed to correctly allocate the health opportunity cost by quintile (tab 4). If unavailable, document the assumption of reusing CET=435 while flagging it as a limitation.</t>
        </is>
      </c>
    </row>
    <row r="4">
      <c r="A4" s="8" t="inlineStr">
        <is>
          <t>Inequality aversion parameter (Atkinson, ε)</t>
        </is>
      </c>
      <c r="B4" s="8" t="n">
        <v>10</v>
      </c>
      <c r="C4" s="8" t="inlineStr">
        <is>
          <t>Starting value used by Arnold et al. (2020) for Malawi, in the absence of a national estimate</t>
        </is>
      </c>
      <c r="D4" s="8" t="inlineStr">
        <is>
          <t>To be tested in sensitivity analysis (e.g. ε=2 and ε=25) once the R coding starts.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I12"/>
  <sheetViews>
    <sheetView workbookViewId="0">
      <pane ySplit="5" topLeftCell="A6" activePane="bottomLeft" state="frozen"/>
      <selection pane="bottomLeft" activeCell="A1" sqref="A1"/>
    </sheetView>
  </sheetViews>
  <sheetFormatPr baseColWidth="8" defaultRowHeight="15"/>
  <cols>
    <col width="30" customWidth="1" min="1" max="1"/>
    <col width="30" customWidth="1" min="2" max="2"/>
    <col width="30" customWidth="1" min="3" max="3"/>
    <col width="26" customWidth="1" min="4" max="4"/>
    <col width="34" customWidth="1" min="5" max="5"/>
    <col width="30" customWidth="1" min="6" max="6"/>
    <col width="22" customWidth="1" min="7" max="7"/>
    <col width="18" customWidth="1" min="8" max="8"/>
    <col width="34" customWidth="1" min="9" max="9"/>
  </cols>
  <sheetData>
    <row r="2">
      <c r="B2" s="1" t="inlineStr">
        <is>
          <t>Applicable microdata sources for Senegal — based on Arnold et al. (2020) Malawi source mapping</t>
        </is>
      </c>
    </row>
    <row r="3" ht="90" customHeight="1">
      <c r="B3" s="2" t="inlineStr">
        <is>
          <t>Arnold et al. built the Malawi DCEA from named survey RECODES/variables (Supplementary Table S1: DHS vaccination/delivery/family-planning codes; Integrated Household Survey [IHS] 2-week self-reported illness + care-seeking, used for TB/malaria/NCDs/mental health/oral health; MICS for one item; 2018 Census for denominators; GBD for national YLD/mortality structure), not from published summary tables. Working directly from Senegal's equivalent microdata (rather than re-reading published PDF tables, as we did for EDS-Continue 2023) would let us reproduce the same granularity, and reach diseases EDS-Continue's published tables don't break out by quintile (TB, mental health, NCDs, detailed anemia).</t>
        </is>
      </c>
    </row>
    <row r="5">
      <c r="A5" s="6" t="inlineStr">
        <is>
          <t>Malawi source (Arnold et al. role)</t>
        </is>
      </c>
      <c r="B5" s="6" t="inlineStr">
        <is>
          <t>Used for</t>
        </is>
      </c>
      <c r="C5" s="6" t="inlineStr">
        <is>
          <t>Senegal equivalent</t>
        </is>
      </c>
      <c r="D5" s="6" t="inlineStr">
        <is>
          <t>Rounds / vintage to check</t>
        </is>
      </c>
      <c r="E5" s="6" t="inlineStr">
        <is>
          <t>Microdata granularity gained vs. published tables</t>
        </is>
      </c>
      <c r="F5" s="6" t="inlineStr">
        <is>
          <t>Access mechanism</t>
        </is>
      </c>
      <c r="G5" s="6" t="inlineStr">
        <is>
          <t>Registration / cost</t>
        </is>
      </c>
      <c r="H5" s="6" t="inlineStr">
        <is>
          <t>Typical turnaround</t>
        </is>
      </c>
      <c r="I5" s="6" t="inlineStr">
        <is>
          <t>Notes / caveats</t>
        </is>
      </c>
    </row>
    <row r="6" ht="110" customHeight="1">
      <c r="A6" s="8" t="inlineStr">
        <is>
          <t>DHS Malawi 2015-16 (vaccination H-codes, family-planning method V307.x, delivery/ANC M-codes, malnutrition HW7/HW8, water source HV201)</t>
        </is>
      </c>
      <c r="B6" s="8" t="inlineStr">
        <is>
          <t>Utilization by service (vaccination, contraceptive method, ANC/delivery detail, child malnutrition) — the exact codes behind Tables 9.x/10.x/7.x we read from the published EDS-Continue report</t>
        </is>
      </c>
      <c r="C6" s="8" t="inlineStr">
        <is>
          <t>EDS-Continue Sénégal — same survey family as the report already used, but as raw individual/birth/children recode files instead of published tables</t>
        </is>
      </c>
      <c r="D6" s="8" t="inlineStr">
        <is>
          <t>Most recent EDS-Continue round(s); check the Senegal country page on the DHS Program site for exact phase years and which recodes were fielded</t>
        </is>
      </c>
      <c r="E6" s="8" t="inlineStr">
        <is>
          <t>Direct access to wealth-quintile variable (v190) already computed per respondent, and to the exact vaccination-dose columns (e.g. h51, h57) that the published Table 10.4 could not be reliably read from — removes the column-misalignment risk flagged for E05</t>
        </is>
      </c>
      <c r="F6" s="8" t="inlineStr">
        <is>
          <t>DHS Program microdata portal (dhsprogram.com) — free account, submit a short project description, select country/survey/recode files</t>
        </is>
      </c>
      <c r="G6" s="8" t="inlineStr">
        <is>
          <t>Free; standard (non-HIV) recodes are typically auto-approved for registered users</t>
        </is>
      </c>
      <c r="H6" s="8" t="inlineStr">
        <is>
          <t>Usually same day to ~48h for standard recodes</t>
        </is>
      </c>
      <c r="I6" s="8" t="inlineStr">
        <is>
          <t>Confirm on the portal whether any Senegal round included a biomarker recode (anemia in women/children, HIV) — EDS-Continue light rounds generally do not; an older full EDS round might</t>
        </is>
      </c>
    </row>
    <row r="7" ht="110" customHeight="1">
      <c r="A7" s="8" t="inlineStr">
        <is>
          <t>Integrated Household Survey (IHS) Malawi — 2-week self-reported illness + care-seeking module, used for TB, malaria (adults), mental health, NCDs (diabetes, hypertension), oral health, several RMNCH treatment items</t>
        </is>
      </c>
      <c r="B7" s="8" t="inlineStr">
        <is>
          <t>The single largest source of 'IHS care seeking' entries in Table S1 (&gt;40 of 106 rows) — this is the survey that lets Malawi cover diseases the DHS never asks about</t>
        </is>
      </c>
      <c r="C7" s="8" t="inlineStr">
        <is>
          <t>EHCVM (Enquête Harmonisée sur les Conditions de Vie des Ménages) — WAEMU-harmonized multi-topic household survey run by ANSD with a health module (2-week morbidity recall + care-seeking + provider type) and its own asset/consumption module for wealth quintiles</t>
        </is>
      </c>
      <c r="D7" s="8" t="inlineStr">
        <is>
          <t>EHCVM round 1 and round 2 (check ANSD/regional catalog for exact fielding years); confirm the health module's exact recall period and disease categories match what is needed</t>
        </is>
      </c>
      <c r="E7" s="8" t="inlineStr">
        <is>
          <t>This is the ONLY realistic path to quintile-stratified TB, mental health, NCD and several other categories that are confirmed absent from EDS-Continue's published tables (see tab 2, causes flagged 'confirmed absent')</t>
        </is>
      </c>
      <c r="F7" s="8" t="inlineStr">
        <is>
          <t>ANSD microdata catalog, and/or the World Bank Microdata Library (regional EHCVM archive covering multiple WAEMU countries)</t>
        </is>
      </c>
      <c r="G7" s="8" t="inlineStr">
        <is>
          <t>Usually free for research use after registration / accepting a data-use agreement; some WAEMU regional archives require a brief user-registration form</t>
        </is>
      </c>
      <c r="H7" s="8" t="inlineStr">
        <is>
          <t>Typically fast (self-service download) once registered, but verify per portal</t>
        </is>
      </c>
      <c r="I7" s="8" t="inlineStr">
        <is>
          <t>Confirm the exact self-reported-illness question wording and disease list before assuming 1:1 comparability with Malawi's IHS categories</t>
        </is>
      </c>
    </row>
    <row r="8" ht="110" customHeight="1">
      <c r="A8" s="8" t="inlineStr">
        <is>
          <t>Multiple Indicator Cluster Survey (MICS) Malawi 2013-14</t>
        </is>
      </c>
      <c r="B8" s="8" t="inlineStr">
        <is>
          <t>Used for one item each (IPT uptake in pregnant women; alcohol use) where DHS/IHS did not ask the question</t>
        </is>
      </c>
      <c r="C8" s="8" t="inlineStr">
        <is>
          <t>MICS Sénégal (UNICEF-supported; historically fielded jointly with EDS in some rounds)</t>
        </is>
      </c>
      <c r="D8" s="8" t="inlineStr">
        <is>
          <t>Check UNICEF MICS survey list for the most recent standalone or EDS-MICS-combined Senegal round</t>
        </is>
      </c>
      <c r="E8" s="8" t="inlineStr">
        <is>
          <t>Fills specific gaps (e.g. child discipline, water treatment at point of use, some malaria items) not always in DHS/EHCVM</t>
        </is>
      </c>
      <c r="F8" s="8" t="inlineStr">
        <is>
          <t>MICS data repository (mics.unicef.org) — free registration and dataset request</t>
        </is>
      </c>
      <c r="G8" s="8" t="inlineStr">
        <is>
          <t>Free</t>
        </is>
      </c>
      <c r="H8" s="8" t="inlineStr">
        <is>
          <t>Typically a few days for request approval</t>
        </is>
      </c>
      <c r="I8" s="8" t="inlineStr">
        <is>
          <t>Only worth pursuing for the specific indicators genuinely missing from EDS-Continue and EHCVM — check overlap first to avoid redundant licensing/registration effort</t>
        </is>
      </c>
    </row>
    <row r="9" ht="110" customHeight="1">
      <c r="A9" s="8" t="inlineStr">
        <is>
          <t>GBD / IHME (national YLD and mortality structure by cause)</t>
        </is>
      </c>
      <c r="B9" s="8" t="inlineStr">
        <is>
          <t>The un-stratified national 'total burden per cause' baseline that survey-derived wealth ratios are then applied to (Table S3 logic)</t>
        </is>
      </c>
      <c r="C9" s="8" t="inlineStr">
        <is>
          <t>GBD Senegal estimates — same global database, filtered to Senegal</t>
        </is>
      </c>
      <c r="D9" s="8" t="inlineStr">
        <is>
          <t>Latest available GBD round (already referenced elsewhere in this project, e.g. IHME_DATA_ALL_AGE_FINAL / GBD_TIER3 sheets in the source workbook)</t>
        </is>
      </c>
      <c r="E9" s="8" t="inlineStr">
        <is>
          <t>No microdata needed here — GBD is already national-level aggregate; the quintile-level split comes from applying the DHS/EHCVM ratios on top of it, exactly as Table S3 does for Malawi</t>
        </is>
      </c>
      <c r="F9" s="8" t="inlineStr">
        <is>
          <t>GBD Results Tool (vizhub.healthdata.org/gbd-results) — public, no registration</t>
        </is>
      </c>
      <c r="G9" s="8" t="inlineStr">
        <is>
          <t>Free, open access</t>
        </is>
      </c>
      <c r="H9" s="8" t="inlineStr">
        <is>
          <t>Immediate (self-service query/export)</t>
        </is>
      </c>
      <c r="I9" s="8" t="inlineStr">
        <is>
          <t>Already partly available inside hbp_senegal_data.xlsx — check whether it needs refreshing to the latest GBD round before use</t>
        </is>
      </c>
    </row>
    <row r="10" ht="110" customHeight="1">
      <c r="A10" s="8" t="inlineStr">
        <is>
          <t>2018 Malawi Population &amp; Housing Census</t>
        </is>
      </c>
      <c r="B10" s="8" t="inlineStr">
        <is>
          <t>Age/sex/urban-rural population denominators to convert rates into absolute case counts</t>
        </is>
      </c>
      <c r="C10" s="8" t="inlineStr">
        <is>
          <t>RGPH (Recensement Général de la Population et de l'Habitat) — most recent round, ANSD</t>
        </is>
      </c>
      <c r="D10" s="8" t="inlineStr">
        <is>
          <t>Latest RGPH round (check ANSD publication for the exact reference year)</t>
        </is>
      </c>
      <c r="E10" s="8" t="inlineStr">
        <is>
          <t>Aggregate published tables (age/sex/region/urban-rural) are normally sufficient for this denominator role — full census microdata is not required</t>
        </is>
      </c>
      <c r="F10" s="8" t="inlineStr">
        <is>
          <t>ANSD publications (freely published summary tables); full microdata only if needed, via direct request to ANSD or IPUMS-International if a Senegal census sample is archived there</t>
        </is>
      </c>
      <c r="G10" s="8" t="inlineStr">
        <is>
          <t>Published tables: free, no request needed. Full microdata: subject to ANSD approval, typically slower and may require a formal request</t>
        </is>
      </c>
      <c r="H10" s="8" t="inlineStr">
        <is>
          <t>Published tables: immediate. Microdata: weeks, case-by-case</t>
        </is>
      </c>
      <c r="I10" s="8" t="inlineStr">
        <is>
          <t>Aggregate tables should cover this project's denominator needs without going through a microdata request at all</t>
        </is>
      </c>
    </row>
    <row r="11" ht="110" customHeight="1">
      <c r="A11" s="8" t="inlineStr">
        <is>
          <t>(Not used by Malawi — a genuine Senegal-specific gap-filler)</t>
        </is>
      </c>
      <c r="B11" s="8" t="inlineStr">
        <is>
          <t>NCD risk-factor prevalence (hypertension, diabetes/glucose) by socioeconomic status — confirmed absent from EDS-Continue 2023</t>
        </is>
      </c>
      <c r="C11" s="8" t="inlineStr">
        <is>
          <t>STEPS Sénégal (WHO STEPwise NCD risk factor survey)</t>
        </is>
      </c>
      <c r="D11" s="8" t="inlineStr">
        <is>
          <t>Most recent Senegal STEPS round — check WHO NCD Microdata Repository listing</t>
        </is>
      </c>
      <c r="E11" s="8" t="inlineStr">
        <is>
          <t>Only realistic source found so far for cardiovascular/diabetes causes flagged 'confirmed absent' in tab 2</t>
        </is>
      </c>
      <c r="F11" s="8" t="inlineStr">
        <is>
          <t>WHO NCD Microdata Repository (extranet.who.int/ncdsmicrodata)</t>
        </is>
      </c>
      <c r="G11" s="8" t="inlineStr">
        <is>
          <t>Free registration; approval requirements vary by country dataset</t>
        </is>
      </c>
      <c r="H11" s="8" t="inlineStr">
        <is>
          <t>Variable, sometimes several weeks</t>
        </is>
      </c>
      <c r="I11" s="8" t="inlineStr">
        <is>
          <t>If unavailable in time, keep the equal-distribution default already documented in tab 2 as an explicit limitation rather than delaying the whole analysis</t>
        </is>
      </c>
    </row>
    <row r="12" ht="110" customHeight="1">
      <c r="A12" s="8" t="inlineStr">
        <is>
          <t>(Not used by Malawi — administrative data alternative)</t>
        </is>
      </c>
      <c r="B12" s="8" t="inlineStr">
        <is>
          <t>Tuberculosis case notifications by region/facility — confirmed absent from any household survey in this project</t>
        </is>
      </c>
      <c r="C12" s="8" t="inlineStr">
        <is>
          <t>Programme National de lutte contre la Tuberculose (PNT) Sénégal notification data, or WHO Global TB Report country profile</t>
        </is>
      </c>
      <c r="D12" s="8" t="inlineStr">
        <is>
          <t>Latest annual PNT report / WHO Global TB Report</t>
        </is>
      </c>
      <c r="E12" s="8" t="inlineStr">
        <is>
          <t>Regional notification counts can proxy a geographic (not wealth-quintile) gradient, combinable with a poverty-map overlay as a second-best option</t>
        </is>
      </c>
      <c r="F12" s="8" t="inlineStr">
        <is>
          <t>WHO Global TB Report country profile: public PDF/data download. PNT data: direct request to the Ministry of Health</t>
        </is>
      </c>
      <c r="G12" s="8" t="inlineStr">
        <is>
          <t>WHO report: free, immediate. PNT: case-by-case, may require an official request letter</t>
        </is>
      </c>
      <c r="H12" s="8" t="inlineStr">
        <is>
          <t>WHO report: immediate. PNT: weeks</t>
        </is>
      </c>
      <c r="I12" s="8" t="inlineStr">
        <is>
          <t>This only gives a REGIONAL proxy, not a true wealth-quintile split — document as an approximation, consistent with the Box 2 default-assumption approach in Arnold et 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2026-09-05T04:39:27Z</dcterms:created>
  <dcterms:modified xmlns:dcterms="http://purl.org/dc/terms/" xmlns:xsi="http://www.w3.org/2001/XMLSchema-instance" xsi:type="dcterms:W3CDTF">2026-09-05T05:16:06Z</dcterms:modified>
</cp:coreProperties>
</file>