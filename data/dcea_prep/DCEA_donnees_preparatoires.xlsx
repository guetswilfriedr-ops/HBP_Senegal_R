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Lisez-moi" sheetId="1" state="visible" r:id="rId1"/>
    <sheet name="1_Interventions" sheetId="2" state="visible" r:id="rId2"/>
    <sheet name="2_D_prevalence_par_cause" sheetId="3" state="visible" r:id="rId3"/>
    <sheet name="3_E_couverture_par_indicateur" sheetId="4" state="visible" r:id="rId4"/>
    <sheet name="4_F_cout_opportunite_national" sheetId="5" state="visible" r:id="rId5"/>
    <sheet name="5_Parametres_CE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10"/>
    </font>
    <font>
      <b val="1"/>
      <color rgb="001F4E78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1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70" customWidth="1" min="3" max="3"/>
  </cols>
  <sheetData>
    <row r="2">
      <c r="B2" s="1" t="inlineStr">
        <is>
          <t>DCEA Sénégal — Données préparatoires</t>
        </is>
      </c>
    </row>
    <row r="3">
      <c r="B3" s="2" t="inlineStr">
        <is>
          <t>Étape préalable au codage R : identifier, par intervention, les données manquantes pour une analyse coût-efficacité distributionnelle (DCEA), et les consigner de façon traçable.</t>
        </is>
      </c>
    </row>
    <row r="5" ht="30" customHeight="1">
      <c r="B5" s="3" t="inlineStr">
        <is>
          <t>Structure du classeur</t>
        </is>
      </c>
    </row>
    <row r="6" ht="30" customHeight="1">
      <c r="B6" s="4" t="inlineStr">
        <is>
          <t>1_Interventions</t>
        </is>
      </c>
      <c r="C6" s="5" t="inlineStr">
        <is>
          <t>Les 141 interventions liées à une cause Top-20-DALY (issu de 'Senegal HBP Tool - Top20 Causes'). Pour chacune, indiquer quel indicateur E utiliser (onglet 3) — la cause GBD (colonne F) est déjà reliée à l'onglet 2.</t>
        </is>
      </c>
    </row>
    <row r="7" ht="30" customHeight="1">
      <c r="B7" s="4" t="inlineStr">
        <is>
          <t>2_D_prevalence_par_cause</t>
        </is>
      </c>
      <c r="C7" s="5" t="inlineStr">
        <is>
          <t>Une ligne par cause GBD distincte (14 au total). Répartition de la prévalence par quintile de richesse (Q1=plus pauvre .. Q5=plus riche). Doit sommer à 100%.</t>
        </is>
      </c>
    </row>
    <row r="8" ht="30" customHeight="1">
      <c r="B8" s="4" t="inlineStr">
        <is>
          <t>3_E_couverture_par_indicateur</t>
        </is>
      </c>
      <c r="C8" s="5" t="inlineStr">
        <is>
          <t>Catalogue de départ (16 indicateurs) de recours/couverture par quintile. À compléter, et à étendre si un indicateur manque pour une intervention de l'onglet 1.</t>
        </is>
      </c>
    </row>
    <row r="9" ht="30" customHeight="1">
      <c r="B9" s="4" t="inlineStr">
        <is>
          <t>4_F_cout_opportunite_national</t>
        </is>
      </c>
      <c r="C9" s="5" t="inlineStr">
        <is>
          <t>Une seule ligne, nationale : répartition du recours moyen aux soins publics (toutes causes), utilisée pour distribuer le coût d'opportunité. Indépendante de l'intervention (méthode Arnold et al. 2020).</t>
        </is>
      </c>
    </row>
    <row r="10" ht="30" customHeight="1">
      <c r="B10" s="4" t="inlineStr">
        <is>
          <t>5_Parametres_CET</t>
        </is>
      </c>
      <c r="C10" s="5" t="inlineStr">
        <is>
          <t>Seuil de coût-efficacité déjà utilisé dans le pipeline (435 $/DALY) et rappel de la distinction avec un seuil de coût d'opportunité (type Ochalek), à documenter séparément si possible.</t>
        </is>
      </c>
    </row>
    <row r="11" ht="30" customHeight="1"/>
    <row r="12" ht="30" customHeight="1">
      <c r="B12" s="3" t="inlineStr">
        <is>
          <t>Comment remplir une ligne (onglets 2, 3, 4)</t>
        </is>
      </c>
    </row>
    <row r="13" ht="30" customHeight="1">
      <c r="B13" s="4" t="inlineStr">
        <is>
          <t>Q1 à Q5</t>
        </is>
      </c>
      <c r="C13" s="5" t="inlineStr">
        <is>
          <t>Part (%) attribuable à chaque quintile — doit sommer à 100% (une formule de contrôle est fournie).</t>
        </is>
      </c>
    </row>
    <row r="14" ht="30" customHeight="1">
      <c r="B14" s="4" t="inlineStr">
        <is>
          <t>Source</t>
        </is>
      </c>
      <c r="C14" s="5" t="inlineStr">
        <is>
          <t>Nom de l'enquête/rapport (ex. EDS-Continue Sénégal 2023, EHCVM, STEPS Sénégal, rapport PNT).</t>
        </is>
      </c>
    </row>
    <row r="15" ht="30" customHeight="1">
      <c r="B15" s="4" t="inlineStr">
        <is>
          <t>Année</t>
        </is>
      </c>
      <c r="C15" s="5" t="inlineStr">
        <is>
          <t>Année de collecte de l'enquête utilisée.</t>
        </is>
      </c>
    </row>
    <row r="16" ht="30" customHeight="1">
      <c r="B16" s="4" t="inlineStr">
        <is>
          <t>Indicateur / Tableau exact</t>
        </is>
      </c>
      <c r="C16" s="5" t="inlineStr">
        <is>
          <t>Nom précis de l'indicateur ou intitulé du tableau dans le rapport source — permet de le retrouver.</t>
        </is>
      </c>
    </row>
    <row r="17" ht="30" customHeight="1">
      <c r="B17" s="4" t="inlineStr">
        <is>
          <t>Page / Tableau n°</t>
        </is>
      </c>
      <c r="C17" s="5" t="inlineStr">
        <is>
          <t>Référence exacte (page ou numéro de tableau) pour vérification ultérieure. LAISSÉ VIDE ici : à compléter par l'analyste ayant accès au rapport EDS-Continue Sénégal complet.</t>
        </is>
      </c>
    </row>
    <row r="18" ht="30" customHeight="1">
      <c r="B18" s="4" t="inlineStr">
        <is>
          <t>Justification</t>
        </is>
      </c>
      <c r="C18" s="5" t="inlineStr">
        <is>
          <t>Pourquoi cette valeur/cet indicateur est un proxy acceptable pour la cause ou l'intervention concernée (ou pourquoi une hypothèse par défaut a été retenue faute de mieux).</t>
        </is>
      </c>
    </row>
    <row r="19" ht="30" customHeight="1">
      <c r="B19" s="4" t="inlineStr">
        <is>
          <t>Statut</t>
        </is>
      </c>
      <c r="C19" s="5" t="inlineStr">
        <is>
          <t>À rechercher / Rempli / Vérifié — liste déroulante.</t>
        </is>
      </c>
    </row>
    <row r="20" ht="30" customHeight="1"/>
    <row r="21" ht="30" customHeight="1">
      <c r="B21" s="4" t="inlineStr">
        <is>
          <t>Important</t>
        </is>
      </c>
      <c r="C21" s="5" t="inlineStr">
        <is>
          <t>Les colonnes surlignées en jaune sont celles à compléter. Les suggestions déjà indiquées dans la colonne 'Indicateur / Tableau exact' des onglets 2 et 3 sont des PISTES DE RECHERCHE, pas des valeurs vérifiées — je n'ai pas eu accès au rapport EDS-Continue Sénégal complet pour citer des pages exactes.</t>
        </is>
      </c>
    </row>
    <row r="22" ht="30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0" customWidth="1" min="3" max="3"/>
    <col width="32" customWidth="1" min="4" max="4"/>
    <col width="32" customWidth="1" min="5" max="5"/>
    <col width="20" customWidth="1" min="6" max="6"/>
    <col width="22" customWidth="1" min="7" max="7"/>
    <col width="14" customWidth="1" min="8" max="8"/>
    <col width="20" customWidth="1" min="9" max="9"/>
    <col width="20" customWidth="1" min="10" max="10"/>
    <col width="14" customWidth="1" min="11" max="11"/>
    <col width="12" customWidth="1" min="12" max="12"/>
    <col width="22" customWidth="1" min="13" max="13"/>
    <col width="30" customWidth="1" min="14" max="14"/>
    <col width="26" customWidth="1" min="15" max="15"/>
  </cols>
  <sheetData>
    <row r="1">
      <c r="A1" s="6" t="inlineStr">
        <is>
          <t>#</t>
        </is>
      </c>
      <c r="B1" s="6" t="inlineStr">
        <is>
          <t>Catégorie principale</t>
        </is>
      </c>
      <c r="C1" s="6" t="inlineStr">
        <is>
          <t>Sous-catégorie</t>
        </is>
      </c>
      <c r="D1" s="6" t="inlineStr">
        <is>
          <t>Intervention (EN)</t>
        </is>
      </c>
      <c r="E1" s="6" t="inlineStr">
        <is>
          <t>Intervention (FR)</t>
        </is>
      </c>
      <c r="F1" s="6" t="inlineStr">
        <is>
          <t>Cause GBD principale (-&gt; onglet 2)</t>
        </is>
      </c>
      <c r="G1" s="6" t="inlineStr">
        <is>
          <t>Population cible (Sénégal)</t>
        </is>
      </c>
      <c r="H1" s="6" t="inlineStr">
        <is>
          <t>Cas estimés 2023 (implémentation complète)</t>
        </is>
      </c>
      <c r="I1" s="6" t="inlineStr">
        <is>
          <t>Statut effectiveness</t>
        </is>
      </c>
      <c r="J1" s="6" t="inlineStr">
        <is>
          <t>Statut coût</t>
        </is>
      </c>
      <c r="K1" s="6" t="inlineStr">
        <is>
          <t>Statut demande</t>
        </is>
      </c>
      <c r="L1" s="6" t="inlineStr">
        <is>
          <t>Éligible league table</t>
        </is>
      </c>
      <c r="M1" s="6" t="inlineStr">
        <is>
          <t>Indicateur E à utiliser (-&gt; onglet 3, id)</t>
        </is>
      </c>
      <c r="N1" s="6" t="inlineStr">
        <is>
          <t>Justification appariement E</t>
        </is>
      </c>
      <c r="O1" s="6" t="inlineStr">
        <is>
          <t>Notes analyste</t>
        </is>
      </c>
    </row>
    <row r="2">
      <c r="A2" s="7" t="n">
        <v>93</v>
      </c>
      <c r="B2" s="7" t="inlineStr">
        <is>
          <t>Maternal/newborn and reproductive health</t>
        </is>
      </c>
      <c r="C2" s="7" t="inlineStr">
        <is>
          <t>Family planning</t>
        </is>
      </c>
      <c r="D2" s="8" t="inlineStr">
        <is>
          <t>Vaginal barrier method</t>
        </is>
      </c>
      <c r="E2" s="8" t="inlineStr">
        <is>
          <t>Méthode barrière vaginale</t>
        </is>
      </c>
      <c r="F2" s="7" t="inlineStr">
        <is>
          <t>Maternal disorders</t>
        </is>
      </c>
      <c r="G2" s="7" t="inlineStr">
        <is>
          <t>Women of reproductive age in union</t>
        </is>
      </c>
      <c r="H2" s="7" t="n">
        <v>2943975</v>
      </c>
      <c r="I2" s="7" t="inlineStr">
        <is>
          <t>Missing</t>
        </is>
      </c>
      <c r="J2" s="7" t="inlineStr">
        <is>
          <t>Available - Senegal ($2023)</t>
        </is>
      </c>
      <c r="K2" s="7" t="inlineStr">
        <is>
          <t>Available</t>
        </is>
      </c>
      <c r="L2" s="7" t="inlineStr">
        <is>
          <t>Non</t>
        </is>
      </c>
      <c r="M2" s="9" t="inlineStr"/>
      <c r="N2" s="9" t="inlineStr"/>
      <c r="O2" s="9" t="inlineStr"/>
    </row>
    <row r="3">
      <c r="A3" s="7" t="n">
        <v>212</v>
      </c>
      <c r="B3" s="7" t="inlineStr">
        <is>
          <t>Non-communicable diseases</t>
        </is>
      </c>
      <c r="C3" s="7" t="inlineStr">
        <is>
          <t>CVD &amp; diabetes</t>
        </is>
      </c>
      <c r="D3" s="8" t="inlineStr">
        <is>
          <t>Intensive glycemic control</t>
        </is>
      </c>
      <c r="E3" s="8" t="inlineStr">
        <is>
          <t>Contrôle glycémique intensif</t>
        </is>
      </c>
      <c r="F3" s="7" t="inlineStr">
        <is>
          <t>Diabetes mellitus</t>
        </is>
      </c>
      <c r="G3" s="7" t="inlineStr">
        <is>
          <t>People with diabetes</t>
        </is>
      </c>
      <c r="H3" s="7" t="n">
        <v>249876</v>
      </c>
      <c r="I3" s="7" t="inlineStr">
        <is>
          <t>Available - Tufts (Ratios)</t>
        </is>
      </c>
      <c r="J3" s="7" t="inlineStr">
        <is>
          <t>Available - Senegal ($2023)</t>
        </is>
      </c>
      <c r="K3" s="7" t="inlineStr">
        <is>
          <t>Available</t>
        </is>
      </c>
      <c r="L3" s="7" t="inlineStr">
        <is>
          <t>Oui</t>
        </is>
      </c>
      <c r="M3" s="9" t="inlineStr"/>
      <c r="N3" s="9" t="inlineStr"/>
      <c r="O3" s="9" t="inlineStr"/>
    </row>
    <row r="4">
      <c r="A4" s="7" t="n">
        <v>211</v>
      </c>
      <c r="B4" s="7" t="inlineStr">
        <is>
          <t>Non-communicable diseases</t>
        </is>
      </c>
      <c r="C4" s="7" t="inlineStr">
        <is>
          <t>CVD &amp; diabetes</t>
        </is>
      </c>
      <c r="D4" s="8" t="inlineStr">
        <is>
          <t>Standard Glycemic control</t>
        </is>
      </c>
      <c r="E4" s="8" t="inlineStr">
        <is>
          <t>Contrôle glycémique standard</t>
        </is>
      </c>
      <c r="F4" s="7" t="inlineStr">
        <is>
          <t>Diabetes mellitus</t>
        </is>
      </c>
      <c r="G4" s="7" t="inlineStr">
        <is>
          <t>People with diabetes</t>
        </is>
      </c>
      <c r="H4" s="7" t="n">
        <v>249876</v>
      </c>
      <c r="I4" s="7" t="inlineStr">
        <is>
          <t>Available - Tufts (Ratios)</t>
        </is>
      </c>
      <c r="J4" s="7" t="inlineStr">
        <is>
          <t>Available - Senegal ($2023)</t>
        </is>
      </c>
      <c r="K4" s="7" t="inlineStr">
        <is>
          <t>Available</t>
        </is>
      </c>
      <c r="L4" s="7" t="inlineStr">
        <is>
          <t>Oui</t>
        </is>
      </c>
      <c r="M4" s="9" t="inlineStr"/>
      <c r="N4" s="9" t="inlineStr"/>
      <c r="O4" s="9" t="inlineStr"/>
    </row>
    <row r="5">
      <c r="A5" s="7" t="n">
        <v>94</v>
      </c>
      <c r="B5" s="7" t="inlineStr">
        <is>
          <t>Maternal/newborn and reproductive health</t>
        </is>
      </c>
      <c r="C5" s="7" t="inlineStr">
        <is>
          <t>Family planning</t>
        </is>
      </c>
      <c r="D5" s="8" t="inlineStr">
        <is>
          <t>Vaginal tablets</t>
        </is>
      </c>
      <c r="E5" s="8" t="inlineStr">
        <is>
          <t>Comprimés vaginaux (spermicides)</t>
        </is>
      </c>
      <c r="F5" s="7" t="inlineStr">
        <is>
          <t>Maternal disorders</t>
        </is>
      </c>
      <c r="G5" s="7" t="inlineStr">
        <is>
          <t>Women of reproductive age in union</t>
        </is>
      </c>
      <c r="H5" s="7" t="n">
        <v>2943975</v>
      </c>
      <c r="I5" s="7" t="inlineStr">
        <is>
          <t>Missing</t>
        </is>
      </c>
      <c r="J5" s="7" t="inlineStr">
        <is>
          <t>Available - Senegal ($2023)</t>
        </is>
      </c>
      <c r="K5" s="7" t="inlineStr">
        <is>
          <t>Available</t>
        </is>
      </c>
      <c r="L5" s="7" t="inlineStr">
        <is>
          <t>Non</t>
        </is>
      </c>
      <c r="M5" s="9" t="inlineStr"/>
      <c r="N5" s="9" t="inlineStr"/>
      <c r="O5" s="9" t="inlineStr"/>
    </row>
    <row r="6">
      <c r="A6" s="7" t="n">
        <v>77</v>
      </c>
      <c r="B6" s="7" t="inlineStr">
        <is>
          <t>Maternal/newborn and reproductive health</t>
        </is>
      </c>
      <c r="C6" s="7" t="inlineStr">
        <is>
          <t>Family planning</t>
        </is>
      </c>
      <c r="D6" s="8" t="inlineStr">
        <is>
          <t>Condom - Male</t>
        </is>
      </c>
      <c r="E6" s="8" t="inlineStr">
        <is>
          <t>Préservatif masculin</t>
        </is>
      </c>
      <c r="F6" s="7" t="inlineStr">
        <is>
          <t>Maternal disorders</t>
        </is>
      </c>
      <c r="G6" s="7" t="inlineStr">
        <is>
          <t>Women of reproductive age in union</t>
        </is>
      </c>
      <c r="H6" s="7" t="n">
        <v>2943975</v>
      </c>
      <c r="I6" s="7" t="inlineStr">
        <is>
          <t>Missing</t>
        </is>
      </c>
      <c r="J6" s="7" t="inlineStr">
        <is>
          <t>Available - Senegal ($2023)</t>
        </is>
      </c>
      <c r="K6" s="7" t="inlineStr">
        <is>
          <t>Available</t>
        </is>
      </c>
      <c r="L6" s="7" t="inlineStr">
        <is>
          <t>Non</t>
        </is>
      </c>
      <c r="M6" s="9" t="inlineStr"/>
      <c r="N6" s="9" t="inlineStr"/>
      <c r="O6" s="9" t="inlineStr"/>
    </row>
    <row r="7">
      <c r="A7" s="7" t="n">
        <v>1</v>
      </c>
      <c r="B7" s="7" t="inlineStr">
        <is>
          <t>Child health</t>
        </is>
      </c>
      <c r="C7" s="7" t="inlineStr">
        <is>
          <t>Child health</t>
        </is>
      </c>
      <c r="D7" s="8" t="inlineStr">
        <is>
          <t>Zinc supplementation</t>
        </is>
      </c>
      <c r="E7" s="8" t="inlineStr">
        <is>
          <t>Supplémentation en zinc</t>
        </is>
      </c>
      <c r="F7" s="7" t="inlineStr">
        <is>
          <t>Diarrheal diseases</t>
        </is>
      </c>
      <c r="G7" s="7" t="inlineStr">
        <is>
          <t>Children 12-59 months</t>
        </is>
      </c>
      <c r="H7" s="7" t="n">
        <v>2410187</v>
      </c>
      <c r="I7" s="7" t="inlineStr">
        <is>
          <t>Available - Tufts (Ratios)</t>
        </is>
      </c>
      <c r="J7" s="7" t="inlineStr">
        <is>
          <t>Available - Senegal ($2023)</t>
        </is>
      </c>
      <c r="K7" s="7" t="inlineStr">
        <is>
          <t>Available</t>
        </is>
      </c>
      <c r="L7" s="7" t="inlineStr">
        <is>
          <t>Oui</t>
        </is>
      </c>
      <c r="M7" s="9" t="inlineStr"/>
      <c r="N7" s="9" t="inlineStr"/>
      <c r="O7" s="9" t="inlineStr"/>
    </row>
    <row r="8">
      <c r="A8" s="7" t="n">
        <v>207</v>
      </c>
      <c r="B8" s="7" t="inlineStr">
        <is>
          <t>Non-communicable diseases</t>
        </is>
      </c>
      <c r="C8" s="7" t="inlineStr">
        <is>
          <t>CVD &amp; diabetes</t>
        </is>
      </c>
      <c r="D8" s="8" t="inlineStr">
        <is>
          <t>Treatment for those with high absolute risk of CVD/diabetes</t>
        </is>
      </c>
      <c r="E8" s="8" t="inlineStr">
        <is>
          <t>Traitement pour risque absolu CV/diabète élevé</t>
        </is>
      </c>
      <c r="F8" s="7" t="inlineStr">
        <is>
          <t>Ischemic heart disease</t>
        </is>
      </c>
      <c r="G8" s="7" t="inlineStr">
        <is>
          <t>People with a greater than 30% chance of developing CVD or diabetes</t>
        </is>
      </c>
      <c r="H8" s="7" t="n">
        <v>249686</v>
      </c>
      <c r="I8" s="7" t="inlineStr">
        <is>
          <t>Available - Tufts (Ratios)</t>
        </is>
      </c>
      <c r="J8" s="7" t="inlineStr">
        <is>
          <t>Available - Senegal ($2023)</t>
        </is>
      </c>
      <c r="K8" s="7" t="inlineStr">
        <is>
          <t>Available</t>
        </is>
      </c>
      <c r="L8" s="7" t="inlineStr">
        <is>
          <t>Oui</t>
        </is>
      </c>
      <c r="M8" s="9" t="inlineStr"/>
      <c r="N8" s="9" t="inlineStr"/>
      <c r="O8" s="9" t="inlineStr"/>
    </row>
    <row r="9">
      <c r="A9" s="7" t="n">
        <v>214</v>
      </c>
      <c r="B9" s="7" t="inlineStr">
        <is>
          <t>Non-communicable diseases</t>
        </is>
      </c>
      <c r="C9" s="7" t="inlineStr">
        <is>
          <t>CVD &amp; diabetes</t>
        </is>
      </c>
      <c r="D9" s="8" t="inlineStr">
        <is>
          <t>Neuropathy screening and preventive foot care</t>
        </is>
      </c>
      <c r="E9" s="8" t="inlineStr">
        <is>
          <t>Dépistage de la neuropathie et soins podologiques préventifs</t>
        </is>
      </c>
      <c r="F9" s="7" t="inlineStr">
        <is>
          <t>Diabetes mellitus</t>
        </is>
      </c>
      <c r="G9" s="7" t="inlineStr">
        <is>
          <t>People with diabetes</t>
        </is>
      </c>
      <c r="H9" s="7" t="n">
        <v>249876</v>
      </c>
      <c r="I9" s="7" t="inlineStr">
        <is>
          <t>Available - Tufts (Ratios)</t>
        </is>
      </c>
      <c r="J9" s="7" t="inlineStr">
        <is>
          <t>Available - Senegal ($2023)</t>
        </is>
      </c>
      <c r="K9" s="7" t="inlineStr">
        <is>
          <t>Available</t>
        </is>
      </c>
      <c r="L9" s="7" t="inlineStr">
        <is>
          <t>Oui</t>
        </is>
      </c>
      <c r="M9" s="9" t="inlineStr"/>
      <c r="N9" s="9" t="inlineStr"/>
      <c r="O9" s="9" t="inlineStr"/>
    </row>
    <row r="10">
      <c r="A10" s="7" t="n">
        <v>60</v>
      </c>
      <c r="B10" s="7" t="inlineStr">
        <is>
          <t>Malaria</t>
        </is>
      </c>
      <c r="C10" s="7" t="inlineStr">
        <is>
          <t>Prevention</t>
        </is>
      </c>
      <c r="D10" s="8" t="inlineStr">
        <is>
          <t>Pregnant women sleeping under an ITN</t>
        </is>
      </c>
      <c r="E10" s="8" t="inlineStr">
        <is>
          <t>Femmes enceintes dormant sous MII</t>
        </is>
      </c>
      <c r="F10" s="7" t="inlineStr">
        <is>
          <t>Malaria</t>
        </is>
      </c>
      <c r="G10" s="7" t="inlineStr">
        <is>
          <t>Pregnant women</t>
        </is>
      </c>
      <c r="H10" s="7" t="n">
        <v>686388</v>
      </c>
      <c r="I10" s="7" t="inlineStr">
        <is>
          <t>Available - Tufts (Ratios)</t>
        </is>
      </c>
      <c r="J10" s="7" t="inlineStr">
        <is>
          <t>Available - Senegal ($2023)</t>
        </is>
      </c>
      <c r="K10" s="7" t="inlineStr">
        <is>
          <t>Available</t>
        </is>
      </c>
      <c r="L10" s="7" t="inlineStr">
        <is>
          <t>Oui</t>
        </is>
      </c>
      <c r="M10" s="9" t="inlineStr"/>
      <c r="N10" s="9" t="inlineStr"/>
      <c r="O10" s="9" t="inlineStr"/>
    </row>
    <row r="11">
      <c r="A11" s="7" t="n">
        <v>145</v>
      </c>
      <c r="B11" s="7" t="inlineStr">
        <is>
          <t>Mental, neurological, and substance use disorders</t>
        </is>
      </c>
      <c r="C11" s="7" t="inlineStr">
        <is>
          <t>Depression</t>
        </is>
      </c>
      <c r="D11" s="8" t="inlineStr">
        <is>
          <t>Intensive psychosocial treatment and anti-depressant medication of recurrent moderate-severe cases on a maintenance basis</t>
        </is>
      </c>
      <c r="E11" s="8" t="inlineStr">
        <is>
          <t>Traitement psychosocial intensif et antidépresseur, épisodes récurrents modérés-sévères (traitement d'entretien)</t>
        </is>
      </c>
      <c r="F11" s="7" t="inlineStr">
        <is>
          <t>Depressive disorders</t>
        </is>
      </c>
      <c r="G11" s="7" t="inlineStr">
        <is>
          <t>People with depression</t>
        </is>
      </c>
      <c r="H11" s="7" t="n">
        <v>148053</v>
      </c>
      <c r="I11" s="7" t="inlineStr">
        <is>
          <t>Available - Tufts (Ratios)</t>
        </is>
      </c>
      <c r="J11" s="7" t="inlineStr">
        <is>
          <t>Available - Senegal ($2023)</t>
        </is>
      </c>
      <c r="K11" s="7" t="inlineStr">
        <is>
          <t>Available</t>
        </is>
      </c>
      <c r="L11" s="7" t="inlineStr">
        <is>
          <t>Oui</t>
        </is>
      </c>
      <c r="M11" s="9" t="inlineStr"/>
      <c r="N11" s="9" t="inlineStr"/>
      <c r="O11" s="9" t="inlineStr"/>
    </row>
    <row r="12">
      <c r="A12" s="7" t="n">
        <v>330</v>
      </c>
      <c r="B12" s="7" t="inlineStr">
        <is>
          <t>TB</t>
        </is>
      </c>
      <c r="C12" s="7" t="inlineStr">
        <is>
          <t>TB diagnosis with Xpert (molecular)</t>
        </is>
      </c>
      <c r="D12" s="8" t="inlineStr">
        <is>
          <t>Initial diagnosis with Xpert: Passive TB case finding, HIV-negative adults</t>
        </is>
      </c>
      <c r="E12" s="8" t="inlineStr">
        <is>
          <t>Diagnostic initial par Xpert : dépistage passif, adultes VIH-négatifs</t>
        </is>
      </c>
      <c r="F12" s="7" t="inlineStr">
        <is>
          <t>Tuberculosis</t>
        </is>
      </c>
      <c r="G12" s="7" t="inlineStr">
        <is>
          <t>Number of new pulmonary TB cases</t>
        </is>
      </c>
      <c r="H12" s="7" t="n">
        <v>108850</v>
      </c>
      <c r="I12" s="7" t="inlineStr">
        <is>
          <t>Available - Tufts (Ratios)</t>
        </is>
      </c>
      <c r="J12" s="7" t="inlineStr">
        <is>
          <t>Available - Senegal ($2023)</t>
        </is>
      </c>
      <c r="K12" s="7" t="inlineStr">
        <is>
          <t>Available</t>
        </is>
      </c>
      <c r="L12" s="7" t="inlineStr">
        <is>
          <t>Oui</t>
        </is>
      </c>
      <c r="M12" s="9" t="inlineStr"/>
      <c r="N12" s="9" t="inlineStr"/>
      <c r="O12" s="9" t="inlineStr"/>
    </row>
    <row r="13">
      <c r="A13" s="7" t="n">
        <v>333</v>
      </c>
      <c r="B13" s="7" t="inlineStr">
        <is>
          <t>TB</t>
        </is>
      </c>
      <c r="C13" s="7" t="inlineStr">
        <is>
          <t>TB diagnosis with Xpert (molecular)</t>
        </is>
      </c>
      <c r="D13" s="8" t="inlineStr">
        <is>
          <t>Initial diagnosis with Xpert: Active TB case finding, children</t>
        </is>
      </c>
      <c r="E13" s="8" t="inlineStr">
        <is>
          <t>Diagnostic initial par Xpert : dépistage actif, enfants</t>
        </is>
      </c>
      <c r="F13" s="7" t="inlineStr">
        <is>
          <t>Tuberculosis</t>
        </is>
      </c>
      <c r="G13" s="7" t="inlineStr">
        <is>
          <t>Number of new pulmonary TB cases</t>
        </is>
      </c>
      <c r="H13" s="7" t="n">
        <v>108850</v>
      </c>
      <c r="I13" s="7" t="inlineStr">
        <is>
          <t>Available - Tufts (Ratios)</t>
        </is>
      </c>
      <c r="J13" s="7" t="inlineStr">
        <is>
          <t>Available - Senegal ($2023)</t>
        </is>
      </c>
      <c r="K13" s="7" t="inlineStr">
        <is>
          <t>Available</t>
        </is>
      </c>
      <c r="L13" s="7" t="inlineStr">
        <is>
          <t>Oui</t>
        </is>
      </c>
      <c r="M13" s="9" t="inlineStr"/>
      <c r="N13" s="9" t="inlineStr"/>
      <c r="O13" s="9" t="inlineStr"/>
    </row>
    <row r="14">
      <c r="A14" s="7" t="n">
        <v>334</v>
      </c>
      <c r="B14" s="7" t="inlineStr">
        <is>
          <t>TB</t>
        </is>
      </c>
      <c r="C14" s="7" t="inlineStr">
        <is>
          <t>TB diagnosis with Xpert (molecular)</t>
        </is>
      </c>
      <c r="D14" s="8" t="inlineStr">
        <is>
          <t>Initial diagnosis with Xpert: Active TB case finding, adults</t>
        </is>
      </c>
      <c r="E14" s="8" t="inlineStr">
        <is>
          <t>Diagnostic initial par Xpert : dépistage actif, adultes</t>
        </is>
      </c>
      <c r="F14" s="7" t="inlineStr">
        <is>
          <t>Tuberculosis</t>
        </is>
      </c>
      <c r="G14" s="7" t="inlineStr">
        <is>
          <t>Number of new pulmonary TB cases</t>
        </is>
      </c>
      <c r="H14" s="7" t="n">
        <v>108850</v>
      </c>
      <c r="I14" s="7" t="inlineStr">
        <is>
          <t>Available - Tufts (Ratios)</t>
        </is>
      </c>
      <c r="J14" s="7" t="inlineStr">
        <is>
          <t>Available - Senegal ($2023)</t>
        </is>
      </c>
      <c r="K14" s="7" t="inlineStr">
        <is>
          <t>Available</t>
        </is>
      </c>
      <c r="L14" s="7" t="inlineStr">
        <is>
          <t>Oui</t>
        </is>
      </c>
      <c r="M14" s="9" t="inlineStr"/>
      <c r="N14" s="9" t="inlineStr"/>
      <c r="O14" s="9" t="inlineStr"/>
    </row>
    <row r="15">
      <c r="A15" s="7" t="n">
        <v>112</v>
      </c>
      <c r="B15" s="7" t="inlineStr">
        <is>
          <t>Maternal/newborn and reproductive health</t>
        </is>
      </c>
      <c r="C15" s="7" t="inlineStr">
        <is>
          <t>Childbirth care - Facility births</t>
        </is>
      </c>
      <c r="D15" s="8" t="inlineStr">
        <is>
          <t>Antibiotics for maternal sepsis</t>
        </is>
      </c>
      <c r="E15" s="8" t="inlineStr">
        <is>
          <t>Antibiotiques pour le sepsis maternel</t>
        </is>
      </c>
      <c r="F15" s="7" t="inlineStr">
        <is>
          <t>Maternal disorders</t>
        </is>
      </c>
      <c r="G15" s="7" t="inlineStr">
        <is>
          <t>Pregnancies carried to term</t>
        </is>
      </c>
      <c r="H15" s="7" t="n">
        <v>22213</v>
      </c>
      <c r="I15" s="7" t="inlineStr">
        <is>
          <t>Available - Tufts (Ratios)</t>
        </is>
      </c>
      <c r="J15" s="7" t="inlineStr">
        <is>
          <t>Available - Senegal ($2023)</t>
        </is>
      </c>
      <c r="K15" s="7" t="inlineStr">
        <is>
          <t>Available</t>
        </is>
      </c>
      <c r="L15" s="7" t="inlineStr">
        <is>
          <t>Oui</t>
        </is>
      </c>
      <c r="M15" s="9" t="inlineStr"/>
      <c r="N15" s="9" t="inlineStr"/>
      <c r="O15" s="9" t="inlineStr"/>
    </row>
    <row r="16">
      <c r="A16" s="7" t="n">
        <v>116</v>
      </c>
      <c r="B16" s="7" t="inlineStr">
        <is>
          <t>Maternal/newborn and reproductive health</t>
        </is>
      </c>
      <c r="C16" s="7" t="inlineStr">
        <is>
          <t>Childbirth care - Facility births</t>
        </is>
      </c>
      <c r="D16" s="8" t="inlineStr">
        <is>
          <t>Management of obstructed labor</t>
        </is>
      </c>
      <c r="E16" s="8" t="inlineStr">
        <is>
          <t>Prise en charge du travail dystocique/obstrué</t>
        </is>
      </c>
      <c r="F16" s="7" t="inlineStr">
        <is>
          <t>Maternal disorders</t>
        </is>
      </c>
      <c r="G16" s="7" t="inlineStr">
        <is>
          <t>Pregnancies carried to term</t>
        </is>
      </c>
      <c r="H16" s="7" t="n">
        <v>67722</v>
      </c>
      <c r="I16" s="7" t="inlineStr">
        <is>
          <t>Available - Uganda fallback</t>
        </is>
      </c>
      <c r="J16" s="7" t="inlineStr">
        <is>
          <t>Available - Senegal ($2023)</t>
        </is>
      </c>
      <c r="K16" s="7" t="inlineStr">
        <is>
          <t>Available</t>
        </is>
      </c>
      <c r="L16" s="7" t="inlineStr">
        <is>
          <t>Oui</t>
        </is>
      </c>
      <c r="M16" s="9" t="inlineStr"/>
      <c r="N16" s="9" t="inlineStr"/>
      <c r="O16" s="9" t="inlineStr"/>
    </row>
    <row r="17">
      <c r="A17" s="7" t="n">
        <v>139</v>
      </c>
      <c r="B17" s="7" t="inlineStr">
        <is>
          <t>Mental, neurological, and substance use disorders</t>
        </is>
      </c>
      <c r="C17" s="7" t="inlineStr">
        <is>
          <t>Anxiety disorders</t>
        </is>
      </c>
      <c r="D17" s="8" t="inlineStr">
        <is>
          <t>Basic psychosocial treatment and anti-depressant medication for anxiety disorders (moderate-severe cases)</t>
        </is>
      </c>
      <c r="E17" s="8" t="inlineStr">
        <is>
          <t>Traitement psychosocial de base et antidépresseur pour troubles anxieux (cas modérés-sévères)</t>
        </is>
      </c>
      <c r="F17" s="7" t="inlineStr">
        <is>
          <t>Anxiety disorders</t>
        </is>
      </c>
      <c r="G17" s="7" t="inlineStr">
        <is>
          <t>People with anxiety</t>
        </is>
      </c>
      <c r="H17" s="7" t="n">
        <v>213007</v>
      </c>
      <c r="I17" s="7" t="inlineStr">
        <is>
          <t>Available - Tufts (Ratios)</t>
        </is>
      </c>
      <c r="J17" s="7" t="inlineStr">
        <is>
          <t>Available - Senegal ($2023)</t>
        </is>
      </c>
      <c r="K17" s="7" t="inlineStr">
        <is>
          <t>Available</t>
        </is>
      </c>
      <c r="L17" s="7" t="inlineStr">
        <is>
          <t>Oui</t>
        </is>
      </c>
      <c r="M17" s="9" t="inlineStr"/>
      <c r="N17" s="9" t="inlineStr"/>
      <c r="O17" s="9" t="inlineStr"/>
    </row>
    <row r="18">
      <c r="A18" s="7" t="n">
        <v>140</v>
      </c>
      <c r="B18" s="7" t="inlineStr">
        <is>
          <t>Mental, neurological, and substance use disorders</t>
        </is>
      </c>
      <c r="C18" s="7" t="inlineStr">
        <is>
          <t>Anxiety disorders</t>
        </is>
      </c>
      <c r="D18" s="8" t="inlineStr">
        <is>
          <t>Intensive psychosocial treatment and anti-depressant medication for anxiety disorders (moderate-severe cases)</t>
        </is>
      </c>
      <c r="E18" s="8" t="inlineStr">
        <is>
          <t>Traitement psychosocial intensif et antidépresseur pour troubles anxieux (cas modérés-sévères)</t>
        </is>
      </c>
      <c r="F18" s="7" t="inlineStr">
        <is>
          <t>Anxiety disorders</t>
        </is>
      </c>
      <c r="G18" s="7" t="inlineStr">
        <is>
          <t>People with anxiety</t>
        </is>
      </c>
      <c r="H18" s="7" t="n">
        <v>213007</v>
      </c>
      <c r="I18" s="7" t="inlineStr">
        <is>
          <t>Available - Tufts (Ratios)</t>
        </is>
      </c>
      <c r="J18" s="7" t="inlineStr">
        <is>
          <t>Available - Senegal ($2023)</t>
        </is>
      </c>
      <c r="K18" s="7" t="inlineStr">
        <is>
          <t>Available</t>
        </is>
      </c>
      <c r="L18" s="7" t="inlineStr">
        <is>
          <t>Oui</t>
        </is>
      </c>
      <c r="M18" s="9" t="inlineStr"/>
      <c r="N18" s="9" t="inlineStr"/>
      <c r="O18" s="9" t="inlineStr"/>
    </row>
    <row r="19">
      <c r="A19" s="7" t="n">
        <v>210</v>
      </c>
      <c r="B19" s="7" t="inlineStr">
        <is>
          <t>Non-communicable diseases</t>
        </is>
      </c>
      <c r="C19" s="7" t="inlineStr">
        <is>
          <t>CVD &amp; diabetes</t>
        </is>
      </c>
      <c r="D19" s="8" t="inlineStr">
        <is>
          <t>Treatment for those with established cerebrovascular disease and post stroke</t>
        </is>
      </c>
      <c r="E19" s="8" t="inlineStr">
        <is>
          <t>Traitement de la maladie cérébrovasculaire établie / post-AVC</t>
        </is>
      </c>
      <c r="F19" s="7" t="inlineStr">
        <is>
          <t>Stroke</t>
        </is>
      </c>
      <c r="G19" s="7" t="inlineStr">
        <is>
          <t>People with post-acute strokes or both post-acute strokes and IHD</t>
        </is>
      </c>
      <c r="H19" s="7" t="n">
        <v>21654</v>
      </c>
      <c r="I19" s="7" t="inlineStr">
        <is>
          <t>Missing</t>
        </is>
      </c>
      <c r="J19" s="7" t="inlineStr">
        <is>
          <t>Available - Senegal ($2023)</t>
        </is>
      </c>
      <c r="K19" s="7" t="inlineStr">
        <is>
          <t>Available</t>
        </is>
      </c>
      <c r="L19" s="7" t="inlineStr">
        <is>
          <t>Non</t>
        </is>
      </c>
      <c r="M19" s="9" t="inlineStr"/>
      <c r="N19" s="9" t="inlineStr"/>
      <c r="O19" s="9" t="inlineStr"/>
    </row>
    <row r="20">
      <c r="A20" s="7" t="n">
        <v>37</v>
      </c>
      <c r="B20" s="7" t="inlineStr">
        <is>
          <t>HIV/AIDS</t>
        </is>
      </c>
      <c r="C20" s="7" t="inlineStr">
        <is>
          <t>Care and treatment</t>
        </is>
      </c>
      <c r="D20" s="8" t="inlineStr">
        <is>
          <t>ART (Second-Line Treatment) for adults</t>
        </is>
      </c>
      <c r="E20" s="8" t="inlineStr">
        <is>
          <t>TAR - traitement de 2e ligne (adultes)</t>
        </is>
      </c>
      <c r="F20" s="7" t="inlineStr">
        <is>
          <t>HIV/AIDS</t>
        </is>
      </c>
      <c r="G20" s="7" t="e">
        <v>#N/A</v>
      </c>
      <c r="H20" s="7" t="n">
        <v>2137</v>
      </c>
      <c r="I20" s="7" t="inlineStr">
        <is>
          <t>Available - Uganda fallback</t>
        </is>
      </c>
      <c r="J20" s="7" t="inlineStr">
        <is>
          <t>Available - Senegal ($2023)</t>
        </is>
      </c>
      <c r="K20" s="7" t="inlineStr">
        <is>
          <t>Available</t>
        </is>
      </c>
      <c r="L20" s="7" t="inlineStr">
        <is>
          <t>Oui</t>
        </is>
      </c>
      <c r="M20" s="9" t="inlineStr"/>
      <c r="N20" s="9" t="inlineStr"/>
      <c r="O20" s="9" t="inlineStr"/>
    </row>
    <row r="21">
      <c r="A21" s="7" t="n">
        <v>122</v>
      </c>
      <c r="B21" s="7" t="inlineStr">
        <is>
          <t>Maternal/newborn and reproductive health</t>
        </is>
      </c>
      <c r="C21" s="7" t="inlineStr">
        <is>
          <t>Postpartum care - Treatment of sepsis</t>
        </is>
      </c>
      <c r="D21" s="8" t="inlineStr">
        <is>
          <t>Maternal sepsis case management</t>
        </is>
      </c>
      <c r="E21" s="8" t="inlineStr">
        <is>
          <t>Prise en charge du sepsis maternel</t>
        </is>
      </c>
      <c r="F21" s="7" t="inlineStr">
        <is>
          <t>Maternal disorders</t>
        </is>
      </c>
      <c r="G21" s="7" t="inlineStr">
        <is>
          <t>Pregnancies carried to term</t>
        </is>
      </c>
      <c r="H21" s="7" t="n">
        <v>22213</v>
      </c>
      <c r="I21" s="7" t="inlineStr">
        <is>
          <t>Available - Tufts (Ratios)</t>
        </is>
      </c>
      <c r="J21" s="7" t="inlineStr">
        <is>
          <t>Available - Senegal ($2023)</t>
        </is>
      </c>
      <c r="K21" s="7" t="inlineStr">
        <is>
          <t>Available</t>
        </is>
      </c>
      <c r="L21" s="7" t="inlineStr">
        <is>
          <t>Oui</t>
        </is>
      </c>
      <c r="M21" s="9" t="inlineStr"/>
      <c r="N21" s="9" t="inlineStr"/>
      <c r="O21" s="9" t="inlineStr"/>
    </row>
    <row r="22">
      <c r="A22" s="7" t="n">
        <v>105</v>
      </c>
      <c r="B22" s="7" t="inlineStr">
        <is>
          <t>Maternal/newborn and reproductive health</t>
        </is>
      </c>
      <c r="C22" s="7" t="inlineStr">
        <is>
          <t>Childbirth care - Facility births</t>
        </is>
      </c>
      <c r="D22" s="8" t="inlineStr">
        <is>
          <t>Pre-referral management of labor complications</t>
        </is>
      </c>
      <c r="E22" s="8" t="inlineStr">
        <is>
          <t>Prise en charge pré-référencement des complications du travail</t>
        </is>
      </c>
      <c r="F22" s="7" t="inlineStr">
        <is>
          <t>Maternal disorders</t>
        </is>
      </c>
      <c r="G22" s="7" t="inlineStr">
        <is>
          <t>Pregnancies carried to term</t>
        </is>
      </c>
      <c r="H22" s="7" t="n">
        <v>27089</v>
      </c>
      <c r="I22" s="7" t="inlineStr">
        <is>
          <t>Available - Tufts (Ratios)</t>
        </is>
      </c>
      <c r="J22" s="7" t="inlineStr">
        <is>
          <t>Available - Senegal ($2023)</t>
        </is>
      </c>
      <c r="K22" s="7" t="inlineStr">
        <is>
          <t>Available</t>
        </is>
      </c>
      <c r="L22" s="7" t="inlineStr">
        <is>
          <t>Oui</t>
        </is>
      </c>
      <c r="M22" s="9" t="inlineStr"/>
      <c r="N22" s="9" t="inlineStr"/>
      <c r="O22" s="9" t="inlineStr"/>
    </row>
    <row r="23">
      <c r="A23" s="7" t="n">
        <v>127</v>
      </c>
      <c r="B23" s="7" t="inlineStr">
        <is>
          <t>Maternal/newborn and reproductive health</t>
        </is>
      </c>
      <c r="C23" s="7" t="inlineStr">
        <is>
          <t>Childbirth care - Facility births</t>
        </is>
      </c>
      <c r="D23" s="8" t="inlineStr">
        <is>
          <t>Feeding counselling and support for low-birth-weight infants</t>
        </is>
      </c>
      <c r="E23" s="8" t="inlineStr">
        <is>
          <t>Conseil et soutien alimentaire pour nouveau-nés de faible poids</t>
        </is>
      </c>
      <c r="F23" s="7" t="inlineStr">
        <is>
          <t>Neonatal disorders</t>
        </is>
      </c>
      <c r="G23" s="7" t="inlineStr">
        <is>
          <t>Live births</t>
        </is>
      </c>
      <c r="H23" s="7" t="n">
        <v>101007</v>
      </c>
      <c r="I23" s="7" t="inlineStr">
        <is>
          <t>Available - Tufts (Ratios)</t>
        </is>
      </c>
      <c r="J23" s="7" t="inlineStr">
        <is>
          <t>Available - Senegal ($2023)</t>
        </is>
      </c>
      <c r="K23" s="7" t="inlineStr">
        <is>
          <t>Available</t>
        </is>
      </c>
      <c r="L23" s="7" t="inlineStr">
        <is>
          <t>Oui</t>
        </is>
      </c>
      <c r="M23" s="9" t="inlineStr"/>
      <c r="N23" s="9" t="inlineStr"/>
      <c r="O23" s="9" t="inlineStr"/>
    </row>
    <row r="24">
      <c r="A24" s="7" t="n">
        <v>144</v>
      </c>
      <c r="B24" s="7" t="inlineStr">
        <is>
          <t>Mental, neurological, and substance use disorders</t>
        </is>
      </c>
      <c r="C24" s="7" t="inlineStr">
        <is>
          <t>Depression</t>
        </is>
      </c>
      <c r="D24" s="8" t="inlineStr">
        <is>
          <t>Intensive psychosocial treatment and anti-depressant medication of recurrent moderate-severe cases on an episodic basis</t>
        </is>
      </c>
      <c r="E24" s="8" t="inlineStr">
        <is>
          <t>Traitement psychosocial intensif et antidépresseur, épisodes récurrents modérés-sévères (base épisodique)</t>
        </is>
      </c>
      <c r="F24" s="7" t="inlineStr">
        <is>
          <t>Depressive disorders</t>
        </is>
      </c>
      <c r="G24" s="7" t="inlineStr">
        <is>
          <t>People with depression</t>
        </is>
      </c>
      <c r="H24" s="7" t="n">
        <v>148053</v>
      </c>
      <c r="I24" s="7" t="inlineStr">
        <is>
          <t>Available - Tufts (Ratios)</t>
        </is>
      </c>
      <c r="J24" s="7" t="inlineStr">
        <is>
          <t>Available - Senegal ($2023)</t>
        </is>
      </c>
      <c r="K24" s="7" t="inlineStr">
        <is>
          <t>Available</t>
        </is>
      </c>
      <c r="L24" s="7" t="inlineStr">
        <is>
          <t>Oui</t>
        </is>
      </c>
      <c r="M24" s="9" t="inlineStr"/>
      <c r="N24" s="9" t="inlineStr"/>
      <c r="O24" s="9" t="inlineStr"/>
    </row>
    <row r="25">
      <c r="A25" s="7" t="n">
        <v>12</v>
      </c>
      <c r="B25" s="7" t="inlineStr">
        <is>
          <t>Child health</t>
        </is>
      </c>
      <c r="C25" s="7" t="inlineStr">
        <is>
          <t>Pneumonia</t>
        </is>
      </c>
      <c r="D25" s="8" t="inlineStr">
        <is>
          <t>Treatment of severe pneumonia</t>
        </is>
      </c>
      <c r="E25" s="8" t="inlineStr">
        <is>
          <t>Traitement de la pneumonie sévère</t>
        </is>
      </c>
      <c r="F25" s="7" t="inlineStr">
        <is>
          <t>Lower respiratory infections</t>
        </is>
      </c>
      <c r="G25" s="7" t="inlineStr">
        <is>
          <t>Children 1-59 months</t>
        </is>
      </c>
      <c r="H25" s="7" t="n">
        <v>86039</v>
      </c>
      <c r="I25" s="7" t="inlineStr">
        <is>
          <t>Available - Tufts (Ratios)</t>
        </is>
      </c>
      <c r="J25" s="7" t="inlineStr">
        <is>
          <t>Available - Senegal ($2023)</t>
        </is>
      </c>
      <c r="K25" s="7" t="inlineStr">
        <is>
          <t>Available</t>
        </is>
      </c>
      <c r="L25" s="7" t="inlineStr">
        <is>
          <t>Oui</t>
        </is>
      </c>
      <c r="M25" s="9" t="inlineStr"/>
      <c r="N25" s="9" t="inlineStr"/>
      <c r="O25" s="9" t="inlineStr"/>
    </row>
    <row r="26">
      <c r="A26" s="7" t="n">
        <v>106</v>
      </c>
      <c r="B26" s="7" t="inlineStr">
        <is>
          <t>Maternal/newborn and reproductive health</t>
        </is>
      </c>
      <c r="C26" s="7" t="inlineStr">
        <is>
          <t>Postpartum care - Other</t>
        </is>
      </c>
      <c r="D26" s="8" t="inlineStr">
        <is>
          <t>Treatment of postpartum hemorrhage</t>
        </is>
      </c>
      <c r="E26" s="8" t="inlineStr">
        <is>
          <t>Traitement de l'hémorragie du post-partum</t>
        </is>
      </c>
      <c r="F26" s="7" t="inlineStr">
        <is>
          <t>Maternal disorders</t>
        </is>
      </c>
      <c r="G26" s="7" t="inlineStr">
        <is>
          <t>Pregnancies carried to term</t>
        </is>
      </c>
      <c r="H26" s="7" t="n">
        <v>52552</v>
      </c>
      <c r="I26" s="7" t="inlineStr">
        <is>
          <t>Missing</t>
        </is>
      </c>
      <c r="J26" s="7" t="inlineStr">
        <is>
          <t>Available - Senegal ($2023)</t>
        </is>
      </c>
      <c r="K26" s="7" t="inlineStr">
        <is>
          <t>Available</t>
        </is>
      </c>
      <c r="L26" s="7" t="inlineStr">
        <is>
          <t>Non</t>
        </is>
      </c>
      <c r="M26" s="9" t="inlineStr"/>
      <c r="N26" s="9" t="inlineStr"/>
      <c r="O26" s="9" t="inlineStr"/>
    </row>
    <row r="27">
      <c r="A27" s="7" t="n">
        <v>355</v>
      </c>
      <c r="B27" s="7" t="inlineStr">
        <is>
          <t>TB</t>
        </is>
      </c>
      <c r="C27" s="7" t="inlineStr">
        <is>
          <t>Second-line TB treatment</t>
        </is>
      </c>
      <c r="D27" s="8" t="inlineStr">
        <is>
          <t>MDR-TB treatment</t>
        </is>
      </c>
      <c r="E27" s="8" t="inlineStr">
        <is>
          <t>Traitement de la TB multirésistante (MDR-TB)</t>
        </is>
      </c>
      <c r="F27" s="7" t="inlineStr">
        <is>
          <t>Tuberculosis</t>
        </is>
      </c>
      <c r="G27" s="7" t="inlineStr">
        <is>
          <t>Non-XDR cases</t>
        </is>
      </c>
      <c r="H27" s="7" t="n">
        <v>154</v>
      </c>
      <c r="I27" s="7" t="inlineStr">
        <is>
          <t>Available - Tufts (Ratios)</t>
        </is>
      </c>
      <c r="J27" s="7" t="inlineStr">
        <is>
          <t>Available - Senegal ($2023)</t>
        </is>
      </c>
      <c r="K27" s="7" t="inlineStr">
        <is>
          <t>Available</t>
        </is>
      </c>
      <c r="L27" s="7" t="inlineStr">
        <is>
          <t>Oui</t>
        </is>
      </c>
      <c r="M27" s="9" t="inlineStr"/>
      <c r="N27" s="9" t="inlineStr"/>
      <c r="O27" s="9" t="inlineStr"/>
    </row>
    <row r="28">
      <c r="A28" s="7" t="n">
        <v>306</v>
      </c>
      <c r="B28" s="7" t="inlineStr">
        <is>
          <t>Nutrition</t>
        </is>
      </c>
      <c r="C28" s="7" t="inlineStr">
        <is>
          <t>Children</t>
        </is>
      </c>
      <c r="D28" s="8" t="inlineStr">
        <is>
          <t>Home fortification of food with multiple micronutrient powders (children 6-23 months)</t>
        </is>
      </c>
      <c r="E28" s="8" t="inlineStr">
        <is>
          <t>Fortification à domicile par poudres de micronutriments multiples (enfants 6-23 mois)</t>
        </is>
      </c>
      <c r="F28" s="7" t="inlineStr">
        <is>
          <t>Dietary iron deficiency</t>
        </is>
      </c>
      <c r="G28" s="7" t="inlineStr">
        <is>
          <t>Children 6-23 months</t>
        </is>
      </c>
      <c r="H28" s="7" t="n">
        <v>255266</v>
      </c>
      <c r="I28" s="7" t="inlineStr">
        <is>
          <t>Available - Tufts (Ratios)</t>
        </is>
      </c>
      <c r="J28" s="7" t="inlineStr">
        <is>
          <t>Available - Senegal ($2023)</t>
        </is>
      </c>
      <c r="K28" s="7" t="inlineStr">
        <is>
          <t>Available</t>
        </is>
      </c>
      <c r="L28" s="7" t="inlineStr">
        <is>
          <t>Oui</t>
        </is>
      </c>
      <c r="M28" s="9" t="inlineStr"/>
      <c r="N28" s="9" t="inlineStr"/>
      <c r="O28" s="9" t="inlineStr"/>
    </row>
    <row r="29">
      <c r="A29" s="7" t="n">
        <v>142</v>
      </c>
      <c r="B29" s="7" t="inlineStr">
        <is>
          <t>Mental, neurological, and substance use disorders</t>
        </is>
      </c>
      <c r="C29" s="7" t="inlineStr">
        <is>
          <t>Depression</t>
        </is>
      </c>
      <c r="D29" s="8" t="inlineStr">
        <is>
          <t>Basic psychosocial treatment and anti-depressant medication of first episode moderate-severe cases</t>
        </is>
      </c>
      <c r="E29" s="8" t="inlineStr">
        <is>
          <t>Traitement psychosocial de base et antidépresseur, premier épisode modéré-sévère</t>
        </is>
      </c>
      <c r="F29" s="7" t="inlineStr">
        <is>
          <t>Depressive disorders</t>
        </is>
      </c>
      <c r="G29" s="7" t="inlineStr">
        <is>
          <t>People with depression</t>
        </is>
      </c>
      <c r="H29" s="7" t="n">
        <v>63451</v>
      </c>
      <c r="I29" s="7" t="inlineStr">
        <is>
          <t>Available - Tufts (Ratios)</t>
        </is>
      </c>
      <c r="J29" s="7" t="inlineStr">
        <is>
          <t>Available - Senegal ($2023)</t>
        </is>
      </c>
      <c r="K29" s="7" t="inlineStr">
        <is>
          <t>Available</t>
        </is>
      </c>
      <c r="L29" s="7" t="inlineStr">
        <is>
          <t>Oui</t>
        </is>
      </c>
      <c r="M29" s="9" t="inlineStr"/>
      <c r="N29" s="9" t="inlineStr"/>
      <c r="O29" s="9" t="inlineStr"/>
    </row>
    <row r="30">
      <c r="A30" s="7" t="n">
        <v>143</v>
      </c>
      <c r="B30" s="7" t="inlineStr">
        <is>
          <t>Mental, neurological, and substance use disorders</t>
        </is>
      </c>
      <c r="C30" s="7" t="inlineStr">
        <is>
          <t>Depression</t>
        </is>
      </c>
      <c r="D30" s="8" t="inlineStr">
        <is>
          <t>Intensive psychosocial treatment and anti-depressant medication of first episode moderate-severe cases</t>
        </is>
      </c>
      <c r="E30" s="8" t="inlineStr">
        <is>
          <t>Traitement psychosocial intensif et antidépresseur, premier épisode modéré-sévère</t>
        </is>
      </c>
      <c r="F30" s="7" t="inlineStr">
        <is>
          <t>Depressive disorders</t>
        </is>
      </c>
      <c r="G30" s="7" t="inlineStr">
        <is>
          <t>People with depression</t>
        </is>
      </c>
      <c r="H30" s="7" t="n">
        <v>63451</v>
      </c>
      <c r="I30" s="7" t="inlineStr">
        <is>
          <t>Available - Tufts (Ratios)</t>
        </is>
      </c>
      <c r="J30" s="7" t="inlineStr">
        <is>
          <t>Available - Senegal ($2023)</t>
        </is>
      </c>
      <c r="K30" s="7" t="inlineStr">
        <is>
          <t>Available</t>
        </is>
      </c>
      <c r="L30" s="7" t="inlineStr">
        <is>
          <t>Oui</t>
        </is>
      </c>
      <c r="M30" s="9" t="inlineStr"/>
      <c r="N30" s="9" t="inlineStr"/>
      <c r="O30" s="9" t="inlineStr"/>
    </row>
    <row r="31">
      <c r="A31" s="7" t="n">
        <v>17</v>
      </c>
      <c r="B31" s="7" t="inlineStr">
        <is>
          <t>HIV/AIDS</t>
        </is>
      </c>
      <c r="C31" s="7" t="inlineStr">
        <is>
          <t>Care and treatment</t>
        </is>
      </c>
      <c r="D31" s="8" t="inlineStr">
        <is>
          <t>Pediatric ART</t>
        </is>
      </c>
      <c r="E31" s="8" t="inlineStr">
        <is>
          <t>TAR pédiatrique (traitement antirétroviral)</t>
        </is>
      </c>
      <c r="F31" s="7" t="inlineStr">
        <is>
          <t>HIV/AIDS</t>
        </is>
      </c>
      <c r="G31" s="7" t="inlineStr">
        <is>
          <t>Number of children needing ART</t>
        </is>
      </c>
      <c r="H31" s="7" t="n">
        <v>2330</v>
      </c>
      <c r="I31" s="7" t="inlineStr">
        <is>
          <t>Missing</t>
        </is>
      </c>
      <c r="J31" s="7" t="inlineStr">
        <is>
          <t>Available - Senegal ($2023)</t>
        </is>
      </c>
      <c r="K31" s="7" t="inlineStr">
        <is>
          <t>Available</t>
        </is>
      </c>
      <c r="L31" s="7" t="inlineStr">
        <is>
          <t>Non</t>
        </is>
      </c>
      <c r="M31" s="9" t="inlineStr"/>
      <c r="N31" s="9" t="inlineStr"/>
      <c r="O31" s="9" t="inlineStr"/>
    </row>
    <row r="32">
      <c r="A32" s="7" t="n">
        <v>335</v>
      </c>
      <c r="B32" s="7" t="inlineStr">
        <is>
          <t>TB</t>
        </is>
      </c>
      <c r="C32" s="7" t="inlineStr">
        <is>
          <t>TB diagnosis with Xpert (molecular)</t>
        </is>
      </c>
      <c r="D32" s="8" t="inlineStr">
        <is>
          <t>Initial diagnosis with Xpert: Extra pulmonary</t>
        </is>
      </c>
      <c r="E32" s="8" t="inlineStr">
        <is>
          <t>Diagnostic initial par Xpert : forme extra-pulmonaire</t>
        </is>
      </c>
      <c r="F32" s="7" t="inlineStr">
        <is>
          <t>Tuberculosis</t>
        </is>
      </c>
      <c r="G32" s="7" t="inlineStr">
        <is>
          <t>Number of new extrapulmonary TB cases</t>
        </is>
      </c>
      <c r="H32" s="7" t="n">
        <v>18637</v>
      </c>
      <c r="I32" s="7" t="inlineStr">
        <is>
          <t>Available - Tufts (Ratios)</t>
        </is>
      </c>
      <c r="J32" s="7" t="inlineStr">
        <is>
          <t>Available - Senegal ($2023)</t>
        </is>
      </c>
      <c r="K32" s="7" t="inlineStr">
        <is>
          <t>Available</t>
        </is>
      </c>
      <c r="L32" s="7" t="inlineStr">
        <is>
          <t>Oui</t>
        </is>
      </c>
      <c r="M32" s="9" t="inlineStr"/>
      <c r="N32" s="9" t="inlineStr"/>
      <c r="O32" s="9" t="inlineStr"/>
    </row>
    <row r="33">
      <c r="A33" s="7" t="n">
        <v>338</v>
      </c>
      <c r="B33" s="7" t="inlineStr">
        <is>
          <t>TB</t>
        </is>
      </c>
      <c r="C33" s="7" t="inlineStr">
        <is>
          <t>TB diagnosis: LPA (molecular)</t>
        </is>
      </c>
      <c r="D33" s="8" t="inlineStr">
        <is>
          <t>Resistance testing LPA: For first-line drugs, new smear positive sputum</t>
        </is>
      </c>
      <c r="E33" s="8" t="inlineStr">
        <is>
          <t>Test de résistance par LPA (test génotypique sur bandelette) : médicaments de 1re ligne, crachat à frottis positif nouveau cas</t>
        </is>
      </c>
      <c r="F33" s="7" t="inlineStr">
        <is>
          <t>Tuberculosis</t>
        </is>
      </c>
      <c r="G33" s="7" t="inlineStr">
        <is>
          <t>Number of new pulmonary, bacteriologically confirmed TB cases</t>
        </is>
      </c>
      <c r="H33" s="7" t="n">
        <v>9919</v>
      </c>
      <c r="I33" s="7" t="inlineStr">
        <is>
          <t>Available - Tufts (Ratios)</t>
        </is>
      </c>
      <c r="J33" s="7" t="inlineStr">
        <is>
          <t>Available - Senegal ($2023)</t>
        </is>
      </c>
      <c r="K33" s="7" t="inlineStr">
        <is>
          <t>Available</t>
        </is>
      </c>
      <c r="L33" s="7" t="inlineStr">
        <is>
          <t>Oui</t>
        </is>
      </c>
      <c r="M33" s="9" t="inlineStr"/>
      <c r="N33" s="9" t="inlineStr"/>
      <c r="O33" s="9" t="inlineStr"/>
    </row>
    <row r="34">
      <c r="A34" s="7" t="n">
        <v>339</v>
      </c>
      <c r="B34" s="7" t="inlineStr">
        <is>
          <t>TB</t>
        </is>
      </c>
      <c r="C34" s="7" t="inlineStr">
        <is>
          <t>TB diagnosis: LPA (molecular)</t>
        </is>
      </c>
      <c r="D34" s="8" t="inlineStr">
        <is>
          <t>Resistance testing LPA: For first-line drugs, culture positive</t>
        </is>
      </c>
      <c r="E34" s="8" t="inlineStr">
        <is>
          <t>Test de résistance par LPA (test génotypique sur bandelette) : médicaments de 1re ligne, culture positive</t>
        </is>
      </c>
      <c r="F34" s="7" t="inlineStr">
        <is>
          <t>Tuberculosis</t>
        </is>
      </c>
      <c r="G34" s="7" t="inlineStr">
        <is>
          <t>Number of new pulmonary, bacteriologically confirmed TB cases</t>
        </is>
      </c>
      <c r="H34" s="7" t="n">
        <v>9919</v>
      </c>
      <c r="I34" s="7" t="inlineStr">
        <is>
          <t>Available - Tufts (Ratios)</t>
        </is>
      </c>
      <c r="J34" s="7" t="inlineStr">
        <is>
          <t>Available - Senegal ($2023)</t>
        </is>
      </c>
      <c r="K34" s="7" t="inlineStr">
        <is>
          <t>Available</t>
        </is>
      </c>
      <c r="L34" s="7" t="inlineStr">
        <is>
          <t>Oui</t>
        </is>
      </c>
      <c r="M34" s="9" t="inlineStr"/>
      <c r="N34" s="9" t="inlineStr"/>
      <c r="O34" s="9" t="inlineStr"/>
    </row>
    <row r="35">
      <c r="A35" s="7" t="n">
        <v>342</v>
      </c>
      <c r="B35" s="7" t="inlineStr">
        <is>
          <t>TB</t>
        </is>
      </c>
      <c r="C35" s="7" t="inlineStr">
        <is>
          <t>TB screening with X-rays</t>
        </is>
      </c>
      <c r="D35" s="8" t="inlineStr">
        <is>
          <t>Screening with X-rays: Passive TB case finding, HIV-negative adults</t>
        </is>
      </c>
      <c r="E35" s="8" t="inlineStr">
        <is>
          <t>Dépistage par radiographie : dépistage passif, adultes VIH-négatifs</t>
        </is>
      </c>
      <c r="F35" s="7" t="inlineStr">
        <is>
          <t>Tuberculosis</t>
        </is>
      </c>
      <c r="G35" s="7" t="inlineStr">
        <is>
          <t>Number of new pulmonary TB cases</t>
        </is>
      </c>
      <c r="H35" s="7" t="n">
        <v>108850</v>
      </c>
      <c r="I35" s="7" t="inlineStr">
        <is>
          <t>Available - Tufts (Ratios)</t>
        </is>
      </c>
      <c r="J35" s="7" t="inlineStr">
        <is>
          <t>Available - Senegal ($2023)</t>
        </is>
      </c>
      <c r="K35" s="7" t="inlineStr">
        <is>
          <t>Available</t>
        </is>
      </c>
      <c r="L35" s="7" t="inlineStr">
        <is>
          <t>Oui</t>
        </is>
      </c>
      <c r="M35" s="9" t="inlineStr"/>
      <c r="N35" s="9" t="inlineStr"/>
      <c r="O35" s="9" t="inlineStr"/>
    </row>
    <row r="36">
      <c r="A36" s="7" t="n">
        <v>345</v>
      </c>
      <c r="B36" s="7" t="inlineStr">
        <is>
          <t>TB</t>
        </is>
      </c>
      <c r="C36" s="7" t="inlineStr">
        <is>
          <t>TB screening with X-rays</t>
        </is>
      </c>
      <c r="D36" s="8" t="inlineStr">
        <is>
          <t>Screening with X-rays: Active TB case finding, children</t>
        </is>
      </c>
      <c r="E36" s="8" t="inlineStr">
        <is>
          <t>Dépistage par radiographie : dépistage actif, enfants</t>
        </is>
      </c>
      <c r="F36" s="7" t="inlineStr">
        <is>
          <t>Tuberculosis</t>
        </is>
      </c>
      <c r="G36" s="7" t="inlineStr">
        <is>
          <t>Number of new pulmonary TB cases</t>
        </is>
      </c>
      <c r="H36" s="7" t="n">
        <v>108850</v>
      </c>
      <c r="I36" s="7" t="inlineStr">
        <is>
          <t>Available - Tufts (Ratios)</t>
        </is>
      </c>
      <c r="J36" s="7" t="inlineStr">
        <is>
          <t>Available - OHT Senegal ($2023)</t>
        </is>
      </c>
      <c r="K36" s="7" t="inlineStr">
        <is>
          <t>Available</t>
        </is>
      </c>
      <c r="L36" s="7" t="inlineStr">
        <is>
          <t>Oui</t>
        </is>
      </c>
      <c r="M36" s="9" t="inlineStr"/>
      <c r="N36" s="9" t="inlineStr"/>
      <c r="O36" s="9" t="inlineStr"/>
    </row>
    <row r="37">
      <c r="A37" s="7" t="n">
        <v>346</v>
      </c>
      <c r="B37" s="7" t="inlineStr">
        <is>
          <t>TB</t>
        </is>
      </c>
      <c r="C37" s="7" t="inlineStr">
        <is>
          <t>TB screening with X-rays</t>
        </is>
      </c>
      <c r="D37" s="8" t="inlineStr">
        <is>
          <t>Screening with X-rays: Active TB case finding, adults</t>
        </is>
      </c>
      <c r="E37" s="8" t="inlineStr">
        <is>
          <t>Dépistage par radiographie : dépistage actif, adultes</t>
        </is>
      </c>
      <c r="F37" s="7" t="inlineStr">
        <is>
          <t>Tuberculosis</t>
        </is>
      </c>
      <c r="G37" s="7" t="inlineStr">
        <is>
          <t>Number of new pulmonary TB cases</t>
        </is>
      </c>
      <c r="H37" s="7" t="n">
        <v>108850</v>
      </c>
      <c r="I37" s="7" t="inlineStr">
        <is>
          <t>Available - Tufts (Ratios)</t>
        </is>
      </c>
      <c r="J37" s="7" t="inlineStr">
        <is>
          <t>Available - OHT Senegal ($2023)</t>
        </is>
      </c>
      <c r="K37" s="7" t="inlineStr">
        <is>
          <t>Available</t>
        </is>
      </c>
      <c r="L37" s="7" t="inlineStr">
        <is>
          <t>Oui</t>
        </is>
      </c>
      <c r="M37" s="9" t="inlineStr"/>
      <c r="N37" s="9" t="inlineStr"/>
      <c r="O37" s="9" t="inlineStr"/>
    </row>
    <row r="38">
      <c r="A38" s="7" t="n">
        <v>308</v>
      </c>
      <c r="B38" s="7" t="inlineStr">
        <is>
          <t>Nutrition</t>
        </is>
      </c>
      <c r="C38" s="7" t="inlineStr">
        <is>
          <t>Children</t>
        </is>
      </c>
      <c r="D38" s="8" t="inlineStr">
        <is>
          <t>Daily iron supplementation for children 6 to 23 months (where anaemia is &gt;= 40%)</t>
        </is>
      </c>
      <c r="E38" s="8" t="inlineStr">
        <is>
          <t>Supplémentation quotidienne en fer, enfants 6-23 mois (zones à anémie ≥ 40 %)</t>
        </is>
      </c>
      <c r="F38" s="7" t="inlineStr">
        <is>
          <t>Dietary iron deficiency</t>
        </is>
      </c>
      <c r="G38" s="7" t="inlineStr">
        <is>
          <t>Children 6-23 months</t>
        </is>
      </c>
      <c r="H38" s="7" t="n">
        <v>761989</v>
      </c>
      <c r="I38" s="7" t="inlineStr">
        <is>
          <t>Available - Tufts (Ratios)</t>
        </is>
      </c>
      <c r="J38" s="7" t="inlineStr">
        <is>
          <t>Available - OHT Senegal ($2023)</t>
        </is>
      </c>
      <c r="K38" s="7" t="inlineStr">
        <is>
          <t>Available</t>
        </is>
      </c>
      <c r="L38" s="7" t="inlineStr">
        <is>
          <t>Oui</t>
        </is>
      </c>
      <c r="M38" s="9" t="inlineStr"/>
      <c r="N38" s="9" t="inlineStr"/>
      <c r="O38" s="9" t="inlineStr"/>
    </row>
    <row r="39">
      <c r="A39" s="7" t="n">
        <v>73</v>
      </c>
      <c r="B39" s="7" t="inlineStr">
        <is>
          <t>Maternal/newborn and reproductive health</t>
        </is>
      </c>
      <c r="C39" s="7" t="inlineStr">
        <is>
          <t>Management of ectopic pregnancy care</t>
        </is>
      </c>
      <c r="D39" s="8" t="inlineStr">
        <is>
          <t>Ectopic case management</t>
        </is>
      </c>
      <c r="E39" s="8" t="inlineStr">
        <is>
          <t>Prise en charge de la grossesse extra-utérine</t>
        </is>
      </c>
      <c r="F39" s="7" t="inlineStr">
        <is>
          <t>Maternal disorders</t>
        </is>
      </c>
      <c r="G39" s="7" t="inlineStr">
        <is>
          <t>Pregnant women</t>
        </is>
      </c>
      <c r="H39" s="7" t="n">
        <v>6864</v>
      </c>
      <c r="I39" s="7" t="inlineStr">
        <is>
          <t>Available - Uganda fallback</t>
        </is>
      </c>
      <c r="J39" s="7" t="inlineStr">
        <is>
          <t>Available - OHT Senegal ($2023)</t>
        </is>
      </c>
      <c r="K39" s="7" t="inlineStr">
        <is>
          <t>Available</t>
        </is>
      </c>
      <c r="L39" s="7" t="inlineStr">
        <is>
          <t>Oui</t>
        </is>
      </c>
      <c r="M39" s="9" t="inlineStr"/>
      <c r="N39" s="9" t="inlineStr"/>
      <c r="O39" s="9" t="inlineStr"/>
    </row>
    <row r="40">
      <c r="A40" s="7" t="n">
        <v>321</v>
      </c>
      <c r="B40" s="7" t="inlineStr">
        <is>
          <t>TB</t>
        </is>
      </c>
      <c r="C40" s="7" t="inlineStr">
        <is>
          <t>TB diagnosis with culture</t>
        </is>
      </c>
      <c r="D40" s="8" t="inlineStr">
        <is>
          <t>Diagnosis with culture: Passive TB case finding, HIV-negative adults</t>
        </is>
      </c>
      <c r="E40" s="8" t="inlineStr">
        <is>
          <t>Diagnostic par culture : dépistage passif, adultes VIH-négatifs</t>
        </is>
      </c>
      <c r="F40" s="7" t="inlineStr">
        <is>
          <t>Tuberculosis</t>
        </is>
      </c>
      <c r="G40" s="7" t="inlineStr">
        <is>
          <t>Number of new pulmonary, bacteriologically confirmed TB cases</t>
        </is>
      </c>
      <c r="H40" s="7" t="n">
        <v>99186</v>
      </c>
      <c r="I40" s="7" t="inlineStr">
        <is>
          <t>Available - Tufts (Ratios)</t>
        </is>
      </c>
      <c r="J40" s="7" t="inlineStr">
        <is>
          <t>Available - OHT Senegal ($2023)</t>
        </is>
      </c>
      <c r="K40" s="7" t="inlineStr">
        <is>
          <t>Available</t>
        </is>
      </c>
      <c r="L40" s="7" t="inlineStr">
        <is>
          <t>Oui</t>
        </is>
      </c>
      <c r="M40" s="9" t="inlineStr"/>
      <c r="N40" s="9" t="inlineStr"/>
      <c r="O40" s="9" t="inlineStr"/>
    </row>
    <row r="41">
      <c r="A41" s="7" t="n">
        <v>322</v>
      </c>
      <c r="B41" s="7" t="inlineStr">
        <is>
          <t>TB</t>
        </is>
      </c>
      <c r="C41" s="7" t="inlineStr">
        <is>
          <t>TB diagnosis with culture</t>
        </is>
      </c>
      <c r="D41" s="8" t="inlineStr">
        <is>
          <t>Diagnosis with culture: Active TB case finding, children</t>
        </is>
      </c>
      <c r="E41" s="8" t="inlineStr">
        <is>
          <t>Diagnostic par culture : dépistage actif, enfants</t>
        </is>
      </c>
      <c r="F41" s="7" t="inlineStr">
        <is>
          <t>Tuberculosis</t>
        </is>
      </c>
      <c r="G41" s="7" t="inlineStr">
        <is>
          <t>Number of new pulmonary, bacteriologically confirmed TB cases</t>
        </is>
      </c>
      <c r="H41" s="7" t="n">
        <v>99186</v>
      </c>
      <c r="I41" s="7" t="inlineStr">
        <is>
          <t>Missing</t>
        </is>
      </c>
      <c r="J41" s="7" t="inlineStr">
        <is>
          <t>Available - OHT Senegal ($2023)</t>
        </is>
      </c>
      <c r="K41" s="7" t="inlineStr">
        <is>
          <t>Available</t>
        </is>
      </c>
      <c r="L41" s="7" t="inlineStr">
        <is>
          <t>Non</t>
        </is>
      </c>
      <c r="M41" s="9" t="inlineStr"/>
      <c r="N41" s="9" t="inlineStr"/>
      <c r="O41" s="9" t="inlineStr"/>
    </row>
    <row r="42">
      <c r="A42" s="7" t="n">
        <v>323</v>
      </c>
      <c r="B42" s="7" t="inlineStr">
        <is>
          <t>TB</t>
        </is>
      </c>
      <c r="C42" s="7" t="inlineStr">
        <is>
          <t>TB diagnosis with culture</t>
        </is>
      </c>
      <c r="D42" s="8" t="inlineStr">
        <is>
          <t>Diagnosis with culture: Active TB case finding, adults</t>
        </is>
      </c>
      <c r="E42" s="8" t="inlineStr">
        <is>
          <t>Diagnostic par culture : dépistage actif, adultes</t>
        </is>
      </c>
      <c r="F42" s="7" t="inlineStr">
        <is>
          <t>Tuberculosis</t>
        </is>
      </c>
      <c r="G42" s="7" t="inlineStr">
        <is>
          <t>Number of new pulmonary, bacteriologically confirmed TB cases</t>
        </is>
      </c>
      <c r="H42" s="7" t="n">
        <v>99186</v>
      </c>
      <c r="I42" s="7" t="inlineStr">
        <is>
          <t>Available - Tufts (Ratios)</t>
        </is>
      </c>
      <c r="J42" s="7" t="inlineStr">
        <is>
          <t>Available - OHT Senegal ($2023)</t>
        </is>
      </c>
      <c r="K42" s="7" t="inlineStr">
        <is>
          <t>Available</t>
        </is>
      </c>
      <c r="L42" s="7" t="inlineStr">
        <is>
          <t>Oui</t>
        </is>
      </c>
      <c r="M42" s="9" t="inlineStr"/>
      <c r="N42" s="9" t="inlineStr"/>
      <c r="O42" s="9" t="inlineStr"/>
    </row>
    <row r="43">
      <c r="A43" s="7" t="n">
        <v>336</v>
      </c>
      <c r="B43" s="7" t="inlineStr">
        <is>
          <t>TB</t>
        </is>
      </c>
      <c r="C43" s="7" t="inlineStr">
        <is>
          <t>TB diagnosis with Xpert (molecular)</t>
        </is>
      </c>
      <c r="D43" s="8" t="inlineStr">
        <is>
          <t>RR-Diagnosis Xpert: Resistance testing for new smear positive cases</t>
        </is>
      </c>
      <c r="E43" s="8" t="inlineStr">
        <is>
          <t>Diagnostic RR par Xpert : test de résistance, nouveaux cas à frottis positif</t>
        </is>
      </c>
      <c r="F43" s="7" t="inlineStr">
        <is>
          <t>Tuberculosis</t>
        </is>
      </c>
      <c r="G43" s="7" t="inlineStr">
        <is>
          <t>Number of new pulmonary, bacteriologically confirmed TB cases</t>
        </is>
      </c>
      <c r="H43" s="7" t="n">
        <v>9919</v>
      </c>
      <c r="I43" s="7" t="inlineStr">
        <is>
          <t>Available - Tufts (Ratios)</t>
        </is>
      </c>
      <c r="J43" s="7" t="inlineStr">
        <is>
          <t>Available - OHT Senegal ($2023)</t>
        </is>
      </c>
      <c r="K43" s="7" t="inlineStr">
        <is>
          <t>Available</t>
        </is>
      </c>
      <c r="L43" s="7" t="inlineStr">
        <is>
          <t>Oui</t>
        </is>
      </c>
      <c r="M43" s="9" t="inlineStr"/>
      <c r="N43" s="9" t="inlineStr"/>
      <c r="O43" s="9" t="inlineStr"/>
    </row>
    <row r="44">
      <c r="A44" s="7" t="n">
        <v>213</v>
      </c>
      <c r="B44" s="7" t="inlineStr">
        <is>
          <t>Non-communicable diseases</t>
        </is>
      </c>
      <c r="C44" s="7" t="inlineStr">
        <is>
          <t>CVD &amp; diabetes</t>
        </is>
      </c>
      <c r="D44" s="8" t="inlineStr">
        <is>
          <t>Retinopathy screening and photocoagulation</t>
        </is>
      </c>
      <c r="E44" s="8" t="inlineStr">
        <is>
          <t>Dépistage de la rétinopathie et photocoagulation</t>
        </is>
      </c>
      <c r="F44" s="7" t="inlineStr">
        <is>
          <t>Diabetes mellitus</t>
        </is>
      </c>
      <c r="G44" s="7" t="inlineStr">
        <is>
          <t>People with diabetes</t>
        </is>
      </c>
      <c r="H44" s="7" t="n">
        <v>249876</v>
      </c>
      <c r="I44" s="7" t="inlineStr">
        <is>
          <t>Available - Uganda fallback</t>
        </is>
      </c>
      <c r="J44" s="7" t="inlineStr">
        <is>
          <t>Available - OHT Senegal ($2023)</t>
        </is>
      </c>
      <c r="K44" s="7" t="inlineStr">
        <is>
          <t>Available</t>
        </is>
      </c>
      <c r="L44" s="7" t="inlineStr">
        <is>
          <t>Oui</t>
        </is>
      </c>
      <c r="M44" s="9" t="inlineStr"/>
      <c r="N44" s="9" t="inlineStr"/>
      <c r="O44" s="9" t="inlineStr"/>
    </row>
    <row r="45">
      <c r="A45" s="7" t="n">
        <v>128</v>
      </c>
      <c r="B45" s="7" t="inlineStr">
        <is>
          <t>Maternal/newborn and reproductive health</t>
        </is>
      </c>
      <c r="C45" s="7" t="inlineStr">
        <is>
          <t>Postpartum care - Other</t>
        </is>
      </c>
      <c r="D45" s="8" t="inlineStr">
        <is>
          <t>Mastitis</t>
        </is>
      </c>
      <c r="E45" s="8" t="inlineStr">
        <is>
          <t>Mastite</t>
        </is>
      </c>
      <c r="F45" s="7" t="inlineStr">
        <is>
          <t>Maternal disorders</t>
        </is>
      </c>
      <c r="G45" s="7" t="inlineStr">
        <is>
          <t>Live births</t>
        </is>
      </c>
      <c r="H45" s="7" t="n">
        <v>53162</v>
      </c>
      <c r="I45" s="7" t="inlineStr">
        <is>
          <t>Missing</t>
        </is>
      </c>
      <c r="J45" s="7" t="inlineStr">
        <is>
          <t>Available - OHT Senegal ($2023)</t>
        </is>
      </c>
      <c r="K45" s="7" t="inlineStr">
        <is>
          <t>Available</t>
        </is>
      </c>
      <c r="L45" s="7" t="inlineStr">
        <is>
          <t>Non</t>
        </is>
      </c>
      <c r="M45" s="9" t="inlineStr"/>
      <c r="N45" s="9" t="inlineStr"/>
      <c r="O45" s="9" t="inlineStr"/>
    </row>
    <row r="46">
      <c r="A46" s="7" t="n">
        <v>302</v>
      </c>
      <c r="B46" s="7" t="inlineStr">
        <is>
          <t>Nutrition</t>
        </is>
      </c>
      <c r="C46" s="7" t="inlineStr">
        <is>
          <t>Pregnant and lactating women</t>
        </is>
      </c>
      <c r="D46" s="8" t="inlineStr">
        <is>
          <t>Daily FAF, postpartum, anemic women</t>
        </is>
      </c>
      <c r="E46" s="8" t="inlineStr">
        <is>
          <t>Fer-folates quotidien, post-partum, femmes anémiques</t>
        </is>
      </c>
      <c r="F46" s="7" t="inlineStr">
        <is>
          <t>Dietary iron deficiency</t>
        </is>
      </c>
      <c r="G46" s="7" t="inlineStr">
        <is>
          <t>Live births</t>
        </is>
      </c>
      <c r="H46" s="7" t="n">
        <v>303553</v>
      </c>
      <c r="I46" s="7" t="inlineStr">
        <is>
          <t>Missing</t>
        </is>
      </c>
      <c r="J46" s="7" t="inlineStr">
        <is>
          <t>Available - OHT Senegal ($2023)</t>
        </is>
      </c>
      <c r="K46" s="7" t="inlineStr">
        <is>
          <t>Available</t>
        </is>
      </c>
      <c r="L46" s="7" t="inlineStr">
        <is>
          <t>Non</t>
        </is>
      </c>
      <c r="M46" s="9" t="inlineStr"/>
      <c r="N46" s="9" t="inlineStr"/>
      <c r="O46" s="9" t="inlineStr"/>
    </row>
    <row r="47">
      <c r="A47" s="7" t="n">
        <v>331</v>
      </c>
      <c r="B47" s="7" t="inlineStr">
        <is>
          <t>TB</t>
        </is>
      </c>
      <c r="C47" s="7" t="inlineStr">
        <is>
          <t>TB diagnosis with Xpert (molecular)</t>
        </is>
      </c>
      <c r="D47" s="8" t="inlineStr">
        <is>
          <t>Initial diagnosis with Xpert: Passive TB case finding, child cases</t>
        </is>
      </c>
      <c r="E47" s="8" t="inlineStr">
        <is>
          <t>Diagnostic initial par Xpert : dépistage passif, cas pédiatriques</t>
        </is>
      </c>
      <c r="F47" s="7" t="inlineStr">
        <is>
          <t>Tuberculosis</t>
        </is>
      </c>
      <c r="G47" s="7" t="inlineStr">
        <is>
          <t>Number of new and relapse TB cases under 15 years</t>
        </is>
      </c>
      <c r="H47" s="7" t="n">
        <v>5922</v>
      </c>
      <c r="I47" s="7" t="inlineStr">
        <is>
          <t>Available - Tufts (Ratios)</t>
        </is>
      </c>
      <c r="J47" s="7" t="inlineStr">
        <is>
          <t>Available - OHT Senegal ($2023)</t>
        </is>
      </c>
      <c r="K47" s="7" t="inlineStr">
        <is>
          <t>Available</t>
        </is>
      </c>
      <c r="L47" s="7" t="inlineStr">
        <is>
          <t>Oui</t>
        </is>
      </c>
      <c r="M47" s="9" t="inlineStr"/>
      <c r="N47" s="9" t="inlineStr"/>
      <c r="O47" s="9" t="inlineStr"/>
    </row>
    <row r="48">
      <c r="A48" s="7" t="n">
        <v>313</v>
      </c>
      <c r="B48" s="7" t="inlineStr">
        <is>
          <t>TB</t>
        </is>
      </c>
      <c r="C48" s="7" t="inlineStr">
        <is>
          <t>TB diagnosis with microscopy</t>
        </is>
      </c>
      <c r="D48" s="8" t="inlineStr">
        <is>
          <t>Diagnosis with microscopy: Passive TB case finding, HIV-negative adults</t>
        </is>
      </c>
      <c r="E48" s="8" t="inlineStr">
        <is>
          <t>Diagnostic par microscopie : dépistage passif, adultes VIH-négatifs</t>
        </is>
      </c>
      <c r="F48" s="7" t="inlineStr">
        <is>
          <t>Tuberculosis</t>
        </is>
      </c>
      <c r="G48" s="7" t="inlineStr">
        <is>
          <t>Number of new pulmonary, bacteriologically confirmed TB cases (adults)</t>
        </is>
      </c>
      <c r="H48" s="7" t="n">
        <v>189828</v>
      </c>
      <c r="I48" s="7" t="inlineStr">
        <is>
          <t>Available - Tufts (Ratios)</t>
        </is>
      </c>
      <c r="J48" s="7" t="inlineStr">
        <is>
          <t>Available - OHT Senegal ($2023)</t>
        </is>
      </c>
      <c r="K48" s="7" t="inlineStr">
        <is>
          <t>Available</t>
        </is>
      </c>
      <c r="L48" s="7" t="inlineStr">
        <is>
          <t>Oui</t>
        </is>
      </c>
      <c r="M48" s="9" t="inlineStr"/>
      <c r="N48" s="9" t="inlineStr"/>
      <c r="O48" s="9" t="inlineStr"/>
    </row>
    <row r="49">
      <c r="A49" s="7" t="n">
        <v>348</v>
      </c>
      <c r="B49" s="7" t="inlineStr">
        <is>
          <t>TB</t>
        </is>
      </c>
      <c r="C49" s="7" t="inlineStr">
        <is>
          <t>TB screening with X-rays</t>
        </is>
      </c>
      <c r="D49" s="8" t="inlineStr">
        <is>
          <t>Monitoring X-rays: Test to monitor treatment for new pulmonary cases</t>
        </is>
      </c>
      <c r="E49" s="8" t="inlineStr">
        <is>
          <t>Suivi par radiographie : suivi du traitement, nouveaux cas pulmonaires</t>
        </is>
      </c>
      <c r="F49" s="7" t="inlineStr">
        <is>
          <t>Tuberculosis</t>
        </is>
      </c>
      <c r="G49" s="7" t="inlineStr">
        <is>
          <t>Number of new pulmonary TB cases</t>
        </is>
      </c>
      <c r="H49" s="7" t="n">
        <v>32655</v>
      </c>
      <c r="I49" s="7" t="inlineStr">
        <is>
          <t>Available - Tufts (Ratios)</t>
        </is>
      </c>
      <c r="J49" s="7" t="inlineStr">
        <is>
          <t>Available - OHT Senegal ($2023)</t>
        </is>
      </c>
      <c r="K49" s="7" t="inlineStr">
        <is>
          <t>Available</t>
        </is>
      </c>
      <c r="L49" s="7" t="inlineStr">
        <is>
          <t>Oui</t>
        </is>
      </c>
      <c r="M49" s="9" t="inlineStr"/>
      <c r="N49" s="9" t="inlineStr"/>
      <c r="O49" s="9" t="inlineStr"/>
    </row>
    <row r="50">
      <c r="A50" s="7" t="n">
        <v>120</v>
      </c>
      <c r="B50" s="7" t="inlineStr">
        <is>
          <t>Maternal/newborn and reproductive health</t>
        </is>
      </c>
      <c r="C50" s="7" t="inlineStr">
        <is>
          <t>Postpartum care - Treatment of newborn sepsis</t>
        </is>
      </c>
      <c r="D50" s="8" t="inlineStr">
        <is>
          <t>Newborn sepsis - Injectable antibiotics</t>
        </is>
      </c>
      <c r="E50" s="8" t="inlineStr">
        <is>
          <t>Sepsis néonatal - antibiotiques injectables</t>
        </is>
      </c>
      <c r="F50" s="7" t="inlineStr">
        <is>
          <t>Neonatal disorders</t>
        </is>
      </c>
      <c r="G50" s="7" t="inlineStr">
        <is>
          <t>Live births</t>
        </is>
      </c>
      <c r="H50" s="7" t="n">
        <v>40403</v>
      </c>
      <c r="I50" s="7" t="inlineStr">
        <is>
          <t>Missing</t>
        </is>
      </c>
      <c r="J50" s="7" t="inlineStr">
        <is>
          <t>Available - OHT Senegal ($2023)</t>
        </is>
      </c>
      <c r="K50" s="7" t="inlineStr">
        <is>
          <t>Available</t>
        </is>
      </c>
      <c r="L50" s="7" t="inlineStr">
        <is>
          <t>Non</t>
        </is>
      </c>
      <c r="M50" s="9" t="inlineStr"/>
      <c r="N50" s="9" t="inlineStr"/>
      <c r="O50" s="9" t="inlineStr"/>
    </row>
    <row r="51">
      <c r="A51" s="7" t="n">
        <v>126</v>
      </c>
      <c r="B51" s="7" t="inlineStr">
        <is>
          <t>Maternal/newborn and reproductive health</t>
        </is>
      </c>
      <c r="C51" s="7" t="inlineStr">
        <is>
          <t>Childbirth care - Facility births</t>
        </is>
      </c>
      <c r="D51" s="8" t="inlineStr">
        <is>
          <t>Treatment of local infections (Newborn)</t>
        </is>
      </c>
      <c r="E51" s="8" t="inlineStr">
        <is>
          <t>Traitement des infections locales du nouveau-né</t>
        </is>
      </c>
      <c r="F51" s="7" t="inlineStr">
        <is>
          <t>Neonatal disorders</t>
        </is>
      </c>
      <c r="G51" s="7" t="inlineStr">
        <is>
          <t>Live births</t>
        </is>
      </c>
      <c r="H51" s="7" t="n">
        <v>53162</v>
      </c>
      <c r="I51" s="7" t="inlineStr">
        <is>
          <t>Missing</t>
        </is>
      </c>
      <c r="J51" s="7" t="inlineStr">
        <is>
          <t>Available - OHT Senegal ($2023)</t>
        </is>
      </c>
      <c r="K51" s="7" t="inlineStr">
        <is>
          <t>Available</t>
        </is>
      </c>
      <c r="L51" s="7" t="inlineStr">
        <is>
          <t>Non</t>
        </is>
      </c>
      <c r="M51" s="9" t="inlineStr"/>
      <c r="N51" s="9" t="inlineStr"/>
      <c r="O51" s="9" t="inlineStr"/>
    </row>
    <row r="52">
      <c r="A52" s="7" t="n">
        <v>114</v>
      </c>
      <c r="B52" s="7" t="inlineStr">
        <is>
          <t>Maternal/newborn and reproductive health</t>
        </is>
      </c>
      <c r="C52" s="7" t="inlineStr">
        <is>
          <t>Childbirth care - Facility births</t>
        </is>
      </c>
      <c r="D52" s="8" t="inlineStr">
        <is>
          <t>Manual removal of placenta</t>
        </is>
      </c>
      <c r="E52" s="8" t="inlineStr">
        <is>
          <t>Délivrance artificielle du placenta</t>
        </is>
      </c>
      <c r="F52" s="7" t="inlineStr">
        <is>
          <t>Maternal disorders</t>
        </is>
      </c>
      <c r="G52" s="7" t="inlineStr">
        <is>
          <t>Pregnancies carried to term</t>
        </is>
      </c>
      <c r="H52" s="7" t="n">
        <v>10835</v>
      </c>
      <c r="I52" s="7" t="inlineStr">
        <is>
          <t>Missing</t>
        </is>
      </c>
      <c r="J52" s="7" t="inlineStr">
        <is>
          <t>Available - OHT Senegal ($2023)</t>
        </is>
      </c>
      <c r="K52" s="7" t="inlineStr">
        <is>
          <t>Available</t>
        </is>
      </c>
      <c r="L52" s="7" t="inlineStr">
        <is>
          <t>Non</t>
        </is>
      </c>
      <c r="M52" s="9" t="inlineStr"/>
      <c r="N52" s="9" t="inlineStr"/>
      <c r="O52" s="9" t="inlineStr"/>
    </row>
    <row r="53">
      <c r="A53" s="7" t="n">
        <v>332</v>
      </c>
      <c r="B53" s="7" t="inlineStr">
        <is>
          <t>TB</t>
        </is>
      </c>
      <c r="C53" s="7" t="inlineStr">
        <is>
          <t>TB diagnosis with Xpert (molecular)</t>
        </is>
      </c>
      <c r="D53" s="8" t="inlineStr">
        <is>
          <t>Initial diagnosis with Xpert: Passive TB case finding, HIV-positive cases</t>
        </is>
      </c>
      <c r="E53" s="8" t="inlineStr">
        <is>
          <t>Diagnostic initial par Xpert : dépistage passif, cas VIH-positifs</t>
        </is>
      </c>
      <c r="F53" s="7" t="inlineStr">
        <is>
          <t>Tuberculosis</t>
        </is>
      </c>
      <c r="G53" s="7" t="inlineStr">
        <is>
          <t>Number of TB/HIV co-infected cases</t>
        </is>
      </c>
      <c r="H53" s="7" t="n">
        <v>3571</v>
      </c>
      <c r="I53" s="7" t="inlineStr">
        <is>
          <t>Available - Tufts (Ratios)</t>
        </is>
      </c>
      <c r="J53" s="7" t="inlineStr">
        <is>
          <t>Available - OHT Senegal ($2023)</t>
        </is>
      </c>
      <c r="K53" s="7" t="inlineStr">
        <is>
          <t>Available</t>
        </is>
      </c>
      <c r="L53" s="7" t="inlineStr">
        <is>
          <t>Oui</t>
        </is>
      </c>
      <c r="M53" s="9" t="inlineStr"/>
      <c r="N53" s="9" t="inlineStr"/>
      <c r="O53" s="9" t="inlineStr"/>
    </row>
    <row r="54">
      <c r="A54" s="7" t="n">
        <v>357</v>
      </c>
      <c r="B54" s="7" t="inlineStr">
        <is>
          <t>TB</t>
        </is>
      </c>
      <c r="C54" s="7" t="inlineStr">
        <is>
          <t>Second-line TB treatment</t>
        </is>
      </c>
      <c r="D54" s="8" t="inlineStr">
        <is>
          <t>Ancillary drugs for adverse events treatment</t>
        </is>
      </c>
      <c r="E54" s="8" t="inlineStr">
        <is>
          <t>Médicaments annexes pour le traitement des effets indésirables</t>
        </is>
      </c>
      <c r="F54" s="7" t="inlineStr">
        <is>
          <t>Tuberculosis</t>
        </is>
      </c>
      <c r="G54" s="7" t="inlineStr">
        <is>
          <t>MDR and XDR cases</t>
        </is>
      </c>
      <c r="H54" s="7" t="n">
        <v>154</v>
      </c>
      <c r="I54" s="7" t="inlineStr">
        <is>
          <t>Missing</t>
        </is>
      </c>
      <c r="J54" s="7" t="inlineStr">
        <is>
          <t>Available - OHT Senegal ($2023)</t>
        </is>
      </c>
      <c r="K54" s="7" t="inlineStr">
        <is>
          <t>Available</t>
        </is>
      </c>
      <c r="L54" s="7" t="inlineStr">
        <is>
          <t>Non</t>
        </is>
      </c>
      <c r="M54" s="9" t="inlineStr"/>
      <c r="N54" s="9" t="inlineStr"/>
      <c r="O54" s="9" t="inlineStr"/>
    </row>
    <row r="55">
      <c r="A55" s="7" t="n">
        <v>125</v>
      </c>
      <c r="B55" s="7" t="inlineStr">
        <is>
          <t>Maternal/newborn and reproductive health</t>
        </is>
      </c>
      <c r="C55" s="7" t="inlineStr">
        <is>
          <t>Pregnancy care - Treatment of pregnancy complications</t>
        </is>
      </c>
      <c r="D55" s="8" t="inlineStr">
        <is>
          <t>Deworming (pregnant women)</t>
        </is>
      </c>
      <c r="E55" s="8" t="inlineStr">
        <is>
          <t>Déparasitage (femmes enceintes)</t>
        </is>
      </c>
      <c r="F55" s="7" t="inlineStr">
        <is>
          <t>Dietary iron deficiency</t>
        </is>
      </c>
      <c r="G55" s="7" t="inlineStr">
        <is>
          <t>Pregnant women</t>
        </is>
      </c>
      <c r="H55" s="7" t="n">
        <v>199053</v>
      </c>
      <c r="I55" s="7" t="inlineStr">
        <is>
          <t>Missing</t>
        </is>
      </c>
      <c r="J55" s="7" t="inlineStr">
        <is>
          <t>Available - OHT Senegal ($2023)</t>
        </is>
      </c>
      <c r="K55" s="7" t="inlineStr">
        <is>
          <t>Available</t>
        </is>
      </c>
      <c r="L55" s="7" t="inlineStr">
        <is>
          <t>Non</t>
        </is>
      </c>
      <c r="M55" s="9" t="inlineStr"/>
      <c r="N55" s="9" t="inlineStr"/>
      <c r="O55" s="9" t="inlineStr"/>
    </row>
    <row r="56">
      <c r="A56" s="7" t="n">
        <v>16</v>
      </c>
      <c r="B56" s="7" t="inlineStr">
        <is>
          <t>HIV/AIDS</t>
        </is>
      </c>
      <c r="C56" s="7" t="inlineStr">
        <is>
          <t>Care and treatment</t>
        </is>
      </c>
      <c r="D56" s="8" t="inlineStr">
        <is>
          <t>Cotrimoxazole for children</t>
        </is>
      </c>
      <c r="E56" s="8" t="inlineStr">
        <is>
          <t>Cotrimoxazole pour les enfants (nés de mères VIH+)</t>
        </is>
      </c>
      <c r="F56" s="7" t="inlineStr">
        <is>
          <t>HIV/AIDS</t>
        </is>
      </c>
      <c r="G56" s="7" t="inlineStr">
        <is>
          <t>HIV+ children</t>
        </is>
      </c>
      <c r="H56" s="7" t="n">
        <v>2330</v>
      </c>
      <c r="I56" s="7" t="inlineStr">
        <is>
          <t>Missing</t>
        </is>
      </c>
      <c r="J56" s="7" t="inlineStr">
        <is>
          <t>Available - OHT Senegal ($2023)</t>
        </is>
      </c>
      <c r="K56" s="7" t="inlineStr">
        <is>
          <t>Available</t>
        </is>
      </c>
      <c r="L56" s="7" t="inlineStr">
        <is>
          <t>Non</t>
        </is>
      </c>
      <c r="M56" s="9" t="inlineStr"/>
      <c r="N56" s="9" t="inlineStr"/>
      <c r="O56" s="9" t="inlineStr"/>
    </row>
    <row r="57">
      <c r="A57" s="7" t="n">
        <v>121</v>
      </c>
      <c r="B57" s="7" t="inlineStr">
        <is>
          <t>Maternal/newborn and reproductive health</t>
        </is>
      </c>
      <c r="C57" s="7" t="inlineStr">
        <is>
          <t>Postpartum care - Treatment of newborn sepsis</t>
        </is>
      </c>
      <c r="D57" s="8" t="inlineStr">
        <is>
          <t>Newborn sepsis - Full supportive care</t>
        </is>
      </c>
      <c r="E57" s="8" t="inlineStr">
        <is>
          <t>Sepsis néonatal - soins de soutien complets</t>
        </is>
      </c>
      <c r="F57" s="7" t="inlineStr">
        <is>
          <t>Neonatal disorders</t>
        </is>
      </c>
      <c r="G57" s="7" t="inlineStr">
        <is>
          <t>Live births</t>
        </is>
      </c>
      <c r="H57" s="7" t="n">
        <v>40403</v>
      </c>
      <c r="I57" s="7" t="inlineStr">
        <is>
          <t>Available - Uganda fallback</t>
        </is>
      </c>
      <c r="J57" s="7" t="inlineStr">
        <is>
          <t>Available - OHT Senegal ($2023)</t>
        </is>
      </c>
      <c r="K57" s="7" t="inlineStr">
        <is>
          <t>Available</t>
        </is>
      </c>
      <c r="L57" s="7" t="inlineStr">
        <is>
          <t>Oui</t>
        </is>
      </c>
      <c r="M57" s="9" t="inlineStr"/>
      <c r="N57" s="9" t="inlineStr"/>
      <c r="O57" s="9" t="inlineStr"/>
    </row>
    <row r="58">
      <c r="A58" s="7" t="n">
        <v>340</v>
      </c>
      <c r="B58" s="7" t="inlineStr">
        <is>
          <t>TB</t>
        </is>
      </c>
      <c r="C58" s="7" t="inlineStr">
        <is>
          <t>TB diagnosis: LPA (molecular)</t>
        </is>
      </c>
      <c r="D58" s="8" t="inlineStr">
        <is>
          <t>Resistance testing LPA: For first-line drugs, previously treated TB cases</t>
        </is>
      </c>
      <c r="E58" s="8" t="inlineStr">
        <is>
          <t>Test de résistance par LPA (test génotypique sur bandelette) : médicaments de 1re ligne, cas déjà traités</t>
        </is>
      </c>
      <c r="F58" s="7" t="inlineStr">
        <is>
          <t>Tuberculosis</t>
        </is>
      </c>
      <c r="G58" s="7" t="inlineStr">
        <is>
          <t>Previously treated, including relapse</t>
        </is>
      </c>
      <c r="H58" s="7" t="n">
        <v>1000</v>
      </c>
      <c r="I58" s="7" t="inlineStr">
        <is>
          <t>Available - Tufts (Ratios)</t>
        </is>
      </c>
      <c r="J58" s="7" t="inlineStr">
        <is>
          <t>Available - OHT Senegal ($2023)</t>
        </is>
      </c>
      <c r="K58" s="7" t="inlineStr">
        <is>
          <t>Available</t>
        </is>
      </c>
      <c r="L58" s="7" t="inlineStr">
        <is>
          <t>Oui</t>
        </is>
      </c>
      <c r="M58" s="9" t="inlineStr"/>
      <c r="N58" s="9" t="inlineStr"/>
      <c r="O58" s="9" t="inlineStr"/>
    </row>
    <row r="59">
      <c r="A59" s="7" t="n">
        <v>327</v>
      </c>
      <c r="B59" s="7" t="inlineStr">
        <is>
          <t>TB</t>
        </is>
      </c>
      <c r="C59" s="7" t="inlineStr">
        <is>
          <t>TB diagnosis: Culture for DST</t>
        </is>
      </c>
      <c r="D59" s="8" t="inlineStr">
        <is>
          <t>Drugs susceptibility testing for first-line drugs: New TB cases</t>
        </is>
      </c>
      <c r="E59" s="8" t="inlineStr">
        <is>
          <t>Test de pharmacosensibilité (médicaments de 1re ligne) : nouveaux cas de TB</t>
        </is>
      </c>
      <c r="F59" s="7" t="inlineStr">
        <is>
          <t>Tuberculosis</t>
        </is>
      </c>
      <c r="G59" s="7" t="inlineStr">
        <is>
          <t>Number of new pulmonary, bacteriologically confirmed TB cases</t>
        </is>
      </c>
      <c r="H59" s="7" t="n">
        <v>9919</v>
      </c>
      <c r="I59" s="7" t="inlineStr">
        <is>
          <t>Available - Tufts (Ratios)</t>
        </is>
      </c>
      <c r="J59" s="7" t="inlineStr">
        <is>
          <t>Available - OHT Senegal ($2023)</t>
        </is>
      </c>
      <c r="K59" s="7" t="inlineStr">
        <is>
          <t>Available</t>
        </is>
      </c>
      <c r="L59" s="7" t="inlineStr">
        <is>
          <t>Oui</t>
        </is>
      </c>
      <c r="M59" s="9" t="inlineStr"/>
      <c r="N59" s="9" t="inlineStr"/>
      <c r="O59" s="9" t="inlineStr"/>
    </row>
    <row r="60">
      <c r="A60" s="7" t="n">
        <v>117</v>
      </c>
      <c r="B60" s="7" t="inlineStr">
        <is>
          <t>Maternal/newborn and reproductive health</t>
        </is>
      </c>
      <c r="C60" s="7" t="inlineStr">
        <is>
          <t>Childbirth care - Facility births</t>
        </is>
      </c>
      <c r="D60" s="8" t="inlineStr">
        <is>
          <t>Blood transfusion</t>
        </is>
      </c>
      <c r="E60" s="8" t="inlineStr">
        <is>
          <t>Transfusion sanguine</t>
        </is>
      </c>
      <c r="F60" s="7" t="inlineStr">
        <is>
          <t>Maternal disorders</t>
        </is>
      </c>
      <c r="G60" s="7" t="inlineStr">
        <is>
          <t>Pregnancies carried to term</t>
        </is>
      </c>
      <c r="H60" s="7" t="n">
        <v>6501</v>
      </c>
      <c r="I60" s="7" t="inlineStr">
        <is>
          <t>Missing</t>
        </is>
      </c>
      <c r="J60" s="7" t="inlineStr">
        <is>
          <t>Available - OHT Senegal ($2023)</t>
        </is>
      </c>
      <c r="K60" s="7" t="inlineStr">
        <is>
          <t>Available</t>
        </is>
      </c>
      <c r="L60" s="7" t="inlineStr">
        <is>
          <t>Non</t>
        </is>
      </c>
      <c r="M60" s="9" t="inlineStr"/>
      <c r="N60" s="9" t="inlineStr"/>
      <c r="O60" s="9" t="inlineStr"/>
    </row>
    <row r="61">
      <c r="A61" s="7" t="n">
        <v>347</v>
      </c>
      <c r="B61" s="7" t="inlineStr">
        <is>
          <t>TB</t>
        </is>
      </c>
      <c r="C61" s="7" t="inlineStr">
        <is>
          <t>TB screening with X-rays</t>
        </is>
      </c>
      <c r="D61" s="8" t="inlineStr">
        <is>
          <t>Screening with X-rays: Smear negative</t>
        </is>
      </c>
      <c r="E61" s="8" t="inlineStr">
        <is>
          <t>Dépistage par radiographie : frottis négatif</t>
        </is>
      </c>
      <c r="F61" s="7" t="inlineStr">
        <is>
          <t>Tuberculosis</t>
        </is>
      </c>
      <c r="G61" s="7" t="inlineStr">
        <is>
          <t>Number of new pulmonary, clinically diagnosed TB cases</t>
        </is>
      </c>
      <c r="H61" s="7" t="n">
        <v>9664</v>
      </c>
      <c r="I61" s="7" t="inlineStr">
        <is>
          <t>Available - Tufts (Ratios)</t>
        </is>
      </c>
      <c r="J61" s="7" t="inlineStr">
        <is>
          <t>Available - OHT Senegal ($2023)</t>
        </is>
      </c>
      <c r="K61" s="7" t="inlineStr">
        <is>
          <t>Available</t>
        </is>
      </c>
      <c r="L61" s="7" t="inlineStr">
        <is>
          <t>Oui</t>
        </is>
      </c>
      <c r="M61" s="9" t="inlineStr"/>
      <c r="N61" s="9" t="inlineStr"/>
      <c r="O61" s="9" t="inlineStr"/>
    </row>
    <row r="62">
      <c r="A62" s="7" t="n">
        <v>46</v>
      </c>
      <c r="B62" s="7" t="inlineStr">
        <is>
          <t>HIV/AIDS</t>
        </is>
      </c>
      <c r="C62" s="7" t="inlineStr">
        <is>
          <t>Collaborative HIV/AIDS and TB interventions</t>
        </is>
      </c>
      <c r="D62" s="8" t="inlineStr">
        <is>
          <t>HIV prevention for TB patients</t>
        </is>
      </c>
      <c r="E62" s="8" t="inlineStr">
        <is>
          <t>Prévention du VIH chez les patients tuberculeux</t>
        </is>
      </c>
      <c r="F62" s="7" t="inlineStr">
        <is>
          <t>HIV/AIDS</t>
        </is>
      </c>
      <c r="G62" s="7" t="inlineStr">
        <is>
          <t>Number of new TB cases, excluding relapse</t>
        </is>
      </c>
      <c r="H62" s="7" t="n">
        <v>12749</v>
      </c>
      <c r="I62" s="7" t="inlineStr">
        <is>
          <t>Missing</t>
        </is>
      </c>
      <c r="J62" s="7" t="inlineStr">
        <is>
          <t>Available - OHT Senegal ($2023)</t>
        </is>
      </c>
      <c r="K62" s="7" t="inlineStr">
        <is>
          <t>Available</t>
        </is>
      </c>
      <c r="L62" s="7" t="inlineStr">
        <is>
          <t>Non</t>
        </is>
      </c>
      <c r="M62" s="9" t="inlineStr"/>
      <c r="N62" s="9" t="inlineStr"/>
      <c r="O62" s="9" t="inlineStr"/>
    </row>
    <row r="63">
      <c r="A63" s="7" t="n">
        <v>337</v>
      </c>
      <c r="B63" s="7" t="inlineStr">
        <is>
          <t>TB</t>
        </is>
      </c>
      <c r="C63" s="7" t="inlineStr">
        <is>
          <t>TB diagnosis with Xpert (molecular)</t>
        </is>
      </c>
      <c r="D63" s="8" t="inlineStr">
        <is>
          <t>RR-Diagnosis Xpert: Resistance testing for previously treated</t>
        </is>
      </c>
      <c r="E63" s="8" t="inlineStr">
        <is>
          <t>Diagnostic RR par Xpert : test de résistance, cas déjà traités</t>
        </is>
      </c>
      <c r="F63" s="7" t="inlineStr">
        <is>
          <t>Tuberculosis</t>
        </is>
      </c>
      <c r="G63" s="7" t="inlineStr">
        <is>
          <t>Previously treated, including relapse</t>
        </is>
      </c>
      <c r="H63" s="7" t="n">
        <v>1000</v>
      </c>
      <c r="I63" s="7" t="inlineStr">
        <is>
          <t>Available - Tufts (Ratios)</t>
        </is>
      </c>
      <c r="J63" s="7" t="inlineStr">
        <is>
          <t>Available - OHT Senegal ($2023)</t>
        </is>
      </c>
      <c r="K63" s="7" t="inlineStr">
        <is>
          <t>Available</t>
        </is>
      </c>
      <c r="L63" s="7" t="inlineStr">
        <is>
          <t>Oui</t>
        </is>
      </c>
      <c r="M63" s="9" t="inlineStr"/>
      <c r="N63" s="9" t="inlineStr"/>
      <c r="O63" s="9" t="inlineStr"/>
    </row>
    <row r="64">
      <c r="A64" s="7" t="n">
        <v>324</v>
      </c>
      <c r="B64" s="7" t="inlineStr">
        <is>
          <t>TB</t>
        </is>
      </c>
      <c r="C64" s="7" t="inlineStr">
        <is>
          <t>TB diagnosis with culture</t>
        </is>
      </c>
      <c r="D64" s="8" t="inlineStr">
        <is>
          <t>Diagnosis with culture: Diagnostic test for smear negative</t>
        </is>
      </c>
      <c r="E64" s="8" t="inlineStr">
        <is>
          <t>Diagnostic par culture : test diagnostique pour frottis négatif</t>
        </is>
      </c>
      <c r="F64" s="7" t="inlineStr">
        <is>
          <t>Tuberculosis</t>
        </is>
      </c>
      <c r="G64" s="7" t="inlineStr">
        <is>
          <t>Number of new pulmonary, clinically diagnosed TB cases</t>
        </is>
      </c>
      <c r="H64" s="7" t="n">
        <v>9664</v>
      </c>
      <c r="I64" s="7" t="inlineStr">
        <is>
          <t>Available - Tufts (Ratios)</t>
        </is>
      </c>
      <c r="J64" s="7" t="inlineStr">
        <is>
          <t>Available - OHT Senegal ($2023)</t>
        </is>
      </c>
      <c r="K64" s="7" t="inlineStr">
        <is>
          <t>Available</t>
        </is>
      </c>
      <c r="L64" s="7" t="inlineStr">
        <is>
          <t>Oui</t>
        </is>
      </c>
      <c r="M64" s="9" t="inlineStr"/>
      <c r="N64" s="9" t="inlineStr"/>
      <c r="O64" s="9" t="inlineStr"/>
    </row>
    <row r="65">
      <c r="A65" s="7" t="n">
        <v>325</v>
      </c>
      <c r="B65" s="7" t="inlineStr">
        <is>
          <t>TB</t>
        </is>
      </c>
      <c r="C65" s="7" t="inlineStr">
        <is>
          <t>TB diagnosis with culture</t>
        </is>
      </c>
      <c r="D65" s="8" t="inlineStr">
        <is>
          <t>Diagnosis with culture: Diagnostic test for Xpert negative</t>
        </is>
      </c>
      <c r="E65" s="8" t="inlineStr">
        <is>
          <t>Diagnostic par culture : test diagnostique pour Xpert négatif</t>
        </is>
      </c>
      <c r="F65" s="7" t="inlineStr">
        <is>
          <t>Tuberculosis</t>
        </is>
      </c>
      <c r="G65" s="7" t="inlineStr">
        <is>
          <t>Number of new pulmonary, clinically diagnosed TB cases</t>
        </is>
      </c>
      <c r="H65" s="7" t="n">
        <v>9664</v>
      </c>
      <c r="I65" s="7" t="inlineStr">
        <is>
          <t>Available - Tufts (Ratios)</t>
        </is>
      </c>
      <c r="J65" s="7" t="inlineStr">
        <is>
          <t>Available - OHT Senegal ($2023)</t>
        </is>
      </c>
      <c r="K65" s="7" t="inlineStr">
        <is>
          <t>Available</t>
        </is>
      </c>
      <c r="L65" s="7" t="inlineStr">
        <is>
          <t>Oui</t>
        </is>
      </c>
      <c r="M65" s="9" t="inlineStr"/>
      <c r="N65" s="9" t="inlineStr"/>
      <c r="O65" s="9" t="inlineStr"/>
    </row>
    <row r="66">
      <c r="A66" s="7" t="n">
        <v>343</v>
      </c>
      <c r="B66" s="7" t="inlineStr">
        <is>
          <t>TB</t>
        </is>
      </c>
      <c r="C66" s="7" t="inlineStr">
        <is>
          <t>TB screening with X-rays</t>
        </is>
      </c>
      <c r="D66" s="8" t="inlineStr">
        <is>
          <t>Diagnosis with X-rays: Passive TB case finding, child cases</t>
        </is>
      </c>
      <c r="E66" s="8" t="inlineStr">
        <is>
          <t>Diagnostic par radiographie : dépistage passif, cas pédiatriques</t>
        </is>
      </c>
      <c r="F66" s="7" t="inlineStr">
        <is>
          <t>Tuberculosis</t>
        </is>
      </c>
      <c r="G66" s="7" t="inlineStr">
        <is>
          <t>Number of new and relapse TB cases under 15 years</t>
        </is>
      </c>
      <c r="H66" s="7" t="n">
        <v>5922</v>
      </c>
      <c r="I66" s="7" t="inlineStr">
        <is>
          <t>Available - Tufts (Ratios)</t>
        </is>
      </c>
      <c r="J66" s="7" t="inlineStr">
        <is>
          <t>Available - OHT Senegal ($2023)</t>
        </is>
      </c>
      <c r="K66" s="7" t="inlineStr">
        <is>
          <t>Available</t>
        </is>
      </c>
      <c r="L66" s="7" t="inlineStr">
        <is>
          <t>Oui</t>
        </is>
      </c>
      <c r="M66" s="9" t="inlineStr"/>
      <c r="N66" s="9" t="inlineStr"/>
      <c r="O66" s="9" t="inlineStr"/>
    </row>
    <row r="67">
      <c r="A67" s="7" t="n">
        <v>7</v>
      </c>
      <c r="B67" s="7" t="inlineStr">
        <is>
          <t>Child health</t>
        </is>
      </c>
      <c r="C67" s="7" t="inlineStr">
        <is>
          <t>Measles</t>
        </is>
      </c>
      <c r="D67" s="8" t="inlineStr">
        <is>
          <t>Vitamin A for measles treatment (children)</t>
        </is>
      </c>
      <c r="E67" s="8" t="inlineStr">
        <is>
          <t>Vitamine A en traitement de la rougeole (enfants)</t>
        </is>
      </c>
      <c r="F67" s="7" t="inlineStr">
        <is>
          <t>Measles</t>
        </is>
      </c>
      <c r="G67" s="7" t="inlineStr">
        <is>
          <t>Children 1-59 months</t>
        </is>
      </c>
      <c r="H67" s="7" t="n">
        <v>99379</v>
      </c>
      <c r="I67" s="7" t="inlineStr">
        <is>
          <t>Available - Tufts (Ratios)</t>
        </is>
      </c>
      <c r="J67" s="7" t="inlineStr">
        <is>
          <t>Available - OHT Senegal ($2023)</t>
        </is>
      </c>
      <c r="K67" s="7" t="inlineStr">
        <is>
          <t>Available</t>
        </is>
      </c>
      <c r="L67" s="7" t="inlineStr">
        <is>
          <t>Oui</t>
        </is>
      </c>
      <c r="M67" s="9" t="inlineStr"/>
      <c r="N67" s="9" t="inlineStr"/>
      <c r="O67" s="9" t="inlineStr"/>
    </row>
    <row r="68">
      <c r="A68" s="7" t="n">
        <v>318</v>
      </c>
      <c r="B68" s="7" t="inlineStr">
        <is>
          <t>TB</t>
        </is>
      </c>
      <c r="C68" s="7" t="inlineStr">
        <is>
          <t>TB diagnosis with microscopy</t>
        </is>
      </c>
      <c r="D68" s="8" t="inlineStr">
        <is>
          <t>Monitoring with microscopy: Test to monitor first-line drug treatment, new bacteriologically confirmed cases</t>
        </is>
      </c>
      <c r="E68" s="8" t="inlineStr">
        <is>
          <t>Suivi par microscopie : suivi du traitement de 1re ligne, nouveaux cas confirmés bactériologiquement</t>
        </is>
      </c>
      <c r="F68" s="7" t="inlineStr">
        <is>
          <t>Tuberculosis</t>
        </is>
      </c>
      <c r="G68" s="7" t="inlineStr">
        <is>
          <t>Number of new pulmonary, bacteriologically confirmed TB cases</t>
        </is>
      </c>
      <c r="H68" s="7" t="n">
        <v>29756</v>
      </c>
      <c r="I68" s="7" t="inlineStr">
        <is>
          <t>Available - Tufts (Ratios)</t>
        </is>
      </c>
      <c r="J68" s="7" t="inlineStr">
        <is>
          <t>Available - OHT Senegal ($2023)</t>
        </is>
      </c>
      <c r="K68" s="7" t="inlineStr">
        <is>
          <t>Available</t>
        </is>
      </c>
      <c r="L68" s="7" t="inlineStr">
        <is>
          <t>Oui</t>
        </is>
      </c>
      <c r="M68" s="9" t="inlineStr"/>
      <c r="N68" s="9" t="inlineStr"/>
      <c r="O68" s="9" t="inlineStr"/>
    </row>
    <row r="69">
      <c r="A69" s="7" t="n">
        <v>57</v>
      </c>
      <c r="B69" s="7" t="inlineStr">
        <is>
          <t>Malaria</t>
        </is>
      </c>
      <c r="C69" s="7" t="inlineStr">
        <is>
          <t>Prevention</t>
        </is>
      </c>
      <c r="D69" s="8" t="inlineStr">
        <is>
          <t>IPT (pregnant women)</t>
        </is>
      </c>
      <c r="E69" s="8" t="inlineStr">
        <is>
          <t>TPI - traitement préventif intermittent (femmes enceintes)</t>
        </is>
      </c>
      <c r="F69" s="7" t="inlineStr">
        <is>
          <t>Malaria</t>
        </is>
      </c>
      <c r="G69" s="7" t="inlineStr">
        <is>
          <t>Pregnant women</t>
        </is>
      </c>
      <c r="H69" s="7" t="n">
        <v>686388</v>
      </c>
      <c r="I69" s="7" t="inlineStr">
        <is>
          <t>Available - Uganda fallback</t>
        </is>
      </c>
      <c r="J69" s="7" t="inlineStr">
        <is>
          <t>Available - OHT Senegal ($2023)</t>
        </is>
      </c>
      <c r="K69" s="7" t="inlineStr">
        <is>
          <t>Available</t>
        </is>
      </c>
      <c r="L69" s="7" t="inlineStr">
        <is>
          <t>Oui</t>
        </is>
      </c>
      <c r="M69" s="9" t="inlineStr"/>
      <c r="N69" s="9" t="inlineStr"/>
      <c r="O69" s="9" t="inlineStr"/>
    </row>
    <row r="70">
      <c r="A70" s="7" t="n">
        <v>362</v>
      </c>
      <c r="B70" s="7" t="inlineStr">
        <is>
          <t>TB</t>
        </is>
      </c>
      <c r="C70" s="7" t="inlineStr">
        <is>
          <t>Collaborative TB-HIV interventions</t>
        </is>
      </c>
      <c r="D70" s="8" t="inlineStr">
        <is>
          <t>HIV testing and counseling for TB patients</t>
        </is>
      </c>
      <c r="E70" s="8" t="inlineStr">
        <is>
          <t>Dépistage et conseil VIH pour les patients tuberculeux</t>
        </is>
      </c>
      <c r="F70" s="7" t="inlineStr">
        <is>
          <t>Tuberculosis</t>
        </is>
      </c>
      <c r="G70" s="7" t="inlineStr">
        <is>
          <t>Number of new TB cases</t>
        </is>
      </c>
      <c r="H70" s="7" t="n">
        <v>12749</v>
      </c>
      <c r="I70" s="7" t="inlineStr">
        <is>
          <t>Missing</t>
        </is>
      </c>
      <c r="J70" s="7" t="inlineStr">
        <is>
          <t>Available - OHT Senegal ($2023)</t>
        </is>
      </c>
      <c r="K70" s="7" t="inlineStr">
        <is>
          <t>Available</t>
        </is>
      </c>
      <c r="L70" s="7" t="inlineStr">
        <is>
          <t>Non</t>
        </is>
      </c>
      <c r="M70" s="9" t="inlineStr"/>
      <c r="N70" s="9" t="inlineStr"/>
      <c r="O70" s="9" t="inlineStr"/>
    </row>
    <row r="71">
      <c r="A71" s="7" t="n">
        <v>344</v>
      </c>
      <c r="B71" s="7" t="inlineStr">
        <is>
          <t>TB</t>
        </is>
      </c>
      <c r="C71" s="7" t="inlineStr">
        <is>
          <t>TB screening with X-rays</t>
        </is>
      </c>
      <c r="D71" s="8" t="inlineStr">
        <is>
          <t>Diagnosis with X-rays: Passive TB case finding, HIV-positive cases</t>
        </is>
      </c>
      <c r="E71" s="8" t="inlineStr">
        <is>
          <t>Diagnostic par radiographie : dépistage passif, cas VIH-positifs</t>
        </is>
      </c>
      <c r="F71" s="7" t="inlineStr">
        <is>
          <t>Tuberculosis</t>
        </is>
      </c>
      <c r="G71" s="7" t="inlineStr">
        <is>
          <t>Number of TB/HIV co-infected cases</t>
        </is>
      </c>
      <c r="H71" s="7" t="n">
        <v>3571</v>
      </c>
      <c r="I71" s="7" t="inlineStr">
        <is>
          <t>Available - Tufts (Ratios)</t>
        </is>
      </c>
      <c r="J71" s="7" t="inlineStr">
        <is>
          <t>Available - OHT Senegal ($2023)</t>
        </is>
      </c>
      <c r="K71" s="7" t="inlineStr">
        <is>
          <t>Available</t>
        </is>
      </c>
      <c r="L71" s="7" t="inlineStr">
        <is>
          <t>Oui</t>
        </is>
      </c>
      <c r="M71" s="9" t="inlineStr"/>
      <c r="N71" s="9" t="inlineStr"/>
      <c r="O71" s="9" t="inlineStr"/>
    </row>
    <row r="72">
      <c r="A72" s="7" t="n">
        <v>349</v>
      </c>
      <c r="B72" s="7" t="inlineStr">
        <is>
          <t>TB</t>
        </is>
      </c>
      <c r="C72" s="7" t="inlineStr">
        <is>
          <t>TB screening with X-rays</t>
        </is>
      </c>
      <c r="D72" s="8" t="inlineStr">
        <is>
          <t>Monitoring X-rays: Test to monitor treatment for previously treated cases</t>
        </is>
      </c>
      <c r="E72" s="8" t="inlineStr">
        <is>
          <t>Suivi par radiographie : suivi du traitement, cas déjà traités</t>
        </is>
      </c>
      <c r="F72" s="7" t="inlineStr">
        <is>
          <t>Tuberculosis</t>
        </is>
      </c>
      <c r="G72" s="7" t="inlineStr">
        <is>
          <t>Previously treated, including relapse</t>
        </is>
      </c>
      <c r="H72" s="7" t="n">
        <v>3001</v>
      </c>
      <c r="I72" s="7" t="inlineStr">
        <is>
          <t>Available - Tufts (Ratios)</t>
        </is>
      </c>
      <c r="J72" s="7" t="inlineStr">
        <is>
          <t>Available - OHT Senegal ($2023)</t>
        </is>
      </c>
      <c r="K72" s="7" t="inlineStr">
        <is>
          <t>Available</t>
        </is>
      </c>
      <c r="L72" s="7" t="inlineStr">
        <is>
          <t>Oui</t>
        </is>
      </c>
      <c r="M72" s="9" t="inlineStr"/>
      <c r="N72" s="9" t="inlineStr"/>
      <c r="O72" s="9" t="inlineStr"/>
    </row>
    <row r="73">
      <c r="A73" s="7" t="n">
        <v>314</v>
      </c>
      <c r="B73" s="7" t="inlineStr">
        <is>
          <t>TB</t>
        </is>
      </c>
      <c r="C73" s="7" t="inlineStr">
        <is>
          <t>TB diagnosis with microscopy</t>
        </is>
      </c>
      <c r="D73" s="8" t="inlineStr">
        <is>
          <t>Diagnosis with microscopy: Passive TB case finding, child cases</t>
        </is>
      </c>
      <c r="E73" s="8" t="inlineStr">
        <is>
          <t>Diagnostic par microscopie : dépistage passif, cas pédiatriques</t>
        </is>
      </c>
      <c r="F73" s="7" t="inlineStr">
        <is>
          <t>Tuberculosis</t>
        </is>
      </c>
      <c r="G73" s="7" t="inlineStr">
        <is>
          <t>Number of new and relapse TB cases under 15 years</t>
        </is>
      </c>
      <c r="H73" s="7" t="n">
        <v>11844</v>
      </c>
      <c r="I73" s="7" t="inlineStr">
        <is>
          <t>Available - Tufts (Ratios)</t>
        </is>
      </c>
      <c r="J73" s="7" t="inlineStr">
        <is>
          <t>Available - OHT Senegal ($2023)</t>
        </is>
      </c>
      <c r="K73" s="7" t="inlineStr">
        <is>
          <t>Available</t>
        </is>
      </c>
      <c r="L73" s="7" t="inlineStr">
        <is>
          <t>Oui</t>
        </is>
      </c>
      <c r="M73" s="9" t="inlineStr"/>
      <c r="N73" s="9" t="inlineStr"/>
      <c r="O73" s="9" t="inlineStr"/>
    </row>
    <row r="74">
      <c r="A74" s="7" t="n">
        <v>329</v>
      </c>
      <c r="B74" s="7" t="inlineStr">
        <is>
          <t>TB</t>
        </is>
      </c>
      <c r="C74" s="7" t="inlineStr">
        <is>
          <t>TB diagnosis: Culture for DST</t>
        </is>
      </c>
      <c r="D74" s="8" t="inlineStr">
        <is>
          <t>Drugs susceptibility testing for second line TB drugs</t>
        </is>
      </c>
      <c r="E74" s="8" t="inlineStr">
        <is>
          <t>Test de pharmacosensibilité (médicaments de 2e ligne)</t>
        </is>
      </c>
      <c r="F74" s="7" t="inlineStr">
        <is>
          <t>Tuberculosis</t>
        </is>
      </c>
      <c r="G74" s="7" t="inlineStr">
        <is>
          <t>MDR and XDR cases</t>
        </is>
      </c>
      <c r="H74" s="7" t="n">
        <v>154</v>
      </c>
      <c r="I74" s="7" t="inlineStr">
        <is>
          <t>Missing</t>
        </is>
      </c>
      <c r="J74" s="7" t="inlineStr">
        <is>
          <t>Available - OHT Senegal ($2023)</t>
        </is>
      </c>
      <c r="K74" s="7" t="inlineStr">
        <is>
          <t>Available</t>
        </is>
      </c>
      <c r="L74" s="7" t="inlineStr">
        <is>
          <t>Non</t>
        </is>
      </c>
      <c r="M74" s="9" t="inlineStr"/>
      <c r="N74" s="9" t="inlineStr"/>
      <c r="O74" s="9" t="inlineStr"/>
    </row>
    <row r="75">
      <c r="A75" s="7" t="n">
        <v>328</v>
      </c>
      <c r="B75" s="7" t="inlineStr">
        <is>
          <t>TB</t>
        </is>
      </c>
      <c r="C75" s="7" t="inlineStr">
        <is>
          <t>TB diagnosis: Culture for DST</t>
        </is>
      </c>
      <c r="D75" s="8" t="inlineStr">
        <is>
          <t>Drugs susceptibility testing for first-line drugs: Previously treated TB cases</t>
        </is>
      </c>
      <c r="E75" s="8" t="inlineStr">
        <is>
          <t>Test de pharmacosensibilité (médicaments de 1re ligne) : cas de TB déjà traités</t>
        </is>
      </c>
      <c r="F75" s="7" t="inlineStr">
        <is>
          <t>Tuberculosis</t>
        </is>
      </c>
      <c r="G75" s="7" t="inlineStr">
        <is>
          <t>Previously treated, including relapse</t>
        </is>
      </c>
      <c r="H75" s="7" t="n">
        <v>1000</v>
      </c>
      <c r="I75" s="7" t="inlineStr">
        <is>
          <t>Available - Tufts (Ratios)</t>
        </is>
      </c>
      <c r="J75" s="7" t="inlineStr">
        <is>
          <t>Available - OHT Senegal ($2023)</t>
        </is>
      </c>
      <c r="K75" s="7" t="inlineStr">
        <is>
          <t>Available</t>
        </is>
      </c>
      <c r="L75" s="7" t="inlineStr">
        <is>
          <t>Oui</t>
        </is>
      </c>
      <c r="M75" s="9" t="inlineStr"/>
      <c r="N75" s="9" t="inlineStr"/>
      <c r="O75" s="9" t="inlineStr"/>
    </row>
    <row r="76">
      <c r="A76" s="7" t="n">
        <v>350</v>
      </c>
      <c r="B76" s="7" t="inlineStr">
        <is>
          <t>TB</t>
        </is>
      </c>
      <c r="C76" s="7" t="inlineStr">
        <is>
          <t>TB screening with X-rays</t>
        </is>
      </c>
      <c r="D76" s="8" t="inlineStr">
        <is>
          <t>Monitoring X-rays: Test to monitor treatment for MDR or RR-TB</t>
        </is>
      </c>
      <c r="E76" s="8" t="inlineStr">
        <is>
          <t>Suivi par radiographie : suivi du traitement, TB-MDR ou RR</t>
        </is>
      </c>
      <c r="F76" s="7" t="inlineStr">
        <is>
          <t>Tuberculosis</t>
        </is>
      </c>
      <c r="G76" s="7" t="inlineStr">
        <is>
          <t>MDR and XDR cases</t>
        </is>
      </c>
      <c r="H76" s="7" t="n">
        <v>923</v>
      </c>
      <c r="I76" s="7" t="inlineStr">
        <is>
          <t>Available - Tufts (Ratios)</t>
        </is>
      </c>
      <c r="J76" s="7" t="inlineStr">
        <is>
          <t>Available - OHT Senegal ($2023)</t>
        </is>
      </c>
      <c r="K76" s="7" t="inlineStr">
        <is>
          <t>Available</t>
        </is>
      </c>
      <c r="L76" s="7" t="inlineStr">
        <is>
          <t>Oui</t>
        </is>
      </c>
      <c r="M76" s="9" t="inlineStr"/>
      <c r="N76" s="9" t="inlineStr"/>
      <c r="O76" s="9" t="inlineStr"/>
    </row>
    <row r="77">
      <c r="A77" s="7" t="n">
        <v>315</v>
      </c>
      <c r="B77" s="7" t="inlineStr">
        <is>
          <t>TB</t>
        </is>
      </c>
      <c r="C77" s="7" t="inlineStr">
        <is>
          <t>TB diagnosis with microscopy</t>
        </is>
      </c>
      <c r="D77" s="8" t="inlineStr">
        <is>
          <t>Diagnosis with microscopy: Passive TB case finding, HIV-positive cases</t>
        </is>
      </c>
      <c r="E77" s="8" t="inlineStr">
        <is>
          <t>Diagnostic par microscopie : dépistage passif, cas VIH-positifs</t>
        </is>
      </c>
      <c r="F77" s="7" t="inlineStr">
        <is>
          <t>Tuberculosis</t>
        </is>
      </c>
      <c r="G77" s="7" t="inlineStr">
        <is>
          <t>Number of new pulmonary, bacteriologically confirmed, HIV+ TB cases (adults)</t>
        </is>
      </c>
      <c r="H77" s="7" t="n">
        <v>4930</v>
      </c>
      <c r="I77" s="7" t="inlineStr">
        <is>
          <t>Available - Tufts (Ratios)</t>
        </is>
      </c>
      <c r="J77" s="7" t="inlineStr">
        <is>
          <t>Available - OHT Senegal ($2023)</t>
        </is>
      </c>
      <c r="K77" s="7" t="inlineStr">
        <is>
          <t>Available</t>
        </is>
      </c>
      <c r="L77" s="7" t="inlineStr">
        <is>
          <t>Oui</t>
        </is>
      </c>
      <c r="M77" s="9" t="inlineStr"/>
      <c r="N77" s="9" t="inlineStr"/>
      <c r="O77" s="9" t="inlineStr"/>
    </row>
    <row r="78">
      <c r="A78" s="7" t="n">
        <v>341</v>
      </c>
      <c r="B78" s="7" t="inlineStr">
        <is>
          <t>TB</t>
        </is>
      </c>
      <c r="C78" s="7" t="inlineStr">
        <is>
          <t>TB diagnosis: LPA (molecular)</t>
        </is>
      </c>
      <c r="D78" s="8" t="inlineStr">
        <is>
          <t>Resistance testing with LPA: For second-line drugs</t>
        </is>
      </c>
      <c r="E78" s="8" t="inlineStr">
        <is>
          <t>Test de résistance par LPA : médicaments de 2e ligne</t>
        </is>
      </c>
      <c r="F78" s="7" t="inlineStr">
        <is>
          <t>Tuberculosis</t>
        </is>
      </c>
      <c r="G78" s="7" t="inlineStr">
        <is>
          <t>MDR and XDR cases</t>
        </is>
      </c>
      <c r="H78" s="7" t="n">
        <v>154</v>
      </c>
      <c r="I78" s="7" t="inlineStr">
        <is>
          <t>Missing</t>
        </is>
      </c>
      <c r="J78" s="7" t="inlineStr">
        <is>
          <t>Available - OHT Senegal ($2023)</t>
        </is>
      </c>
      <c r="K78" s="7" t="inlineStr">
        <is>
          <t>Available</t>
        </is>
      </c>
      <c r="L78" s="7" t="inlineStr">
        <is>
          <t>Non</t>
        </is>
      </c>
      <c r="M78" s="9" t="inlineStr"/>
      <c r="N78" s="9" t="inlineStr"/>
      <c r="O78" s="9" t="inlineStr"/>
    </row>
    <row r="79">
      <c r="A79" s="7" t="n">
        <v>326</v>
      </c>
      <c r="B79" s="7" t="inlineStr">
        <is>
          <t>TB</t>
        </is>
      </c>
      <c r="C79" s="7" t="inlineStr">
        <is>
          <t>TB diagnosis with culture</t>
        </is>
      </c>
      <c r="D79" s="8" t="inlineStr">
        <is>
          <t>Monitoring with culture: Test to monitor second-line treatment for RR-/MDR-TB</t>
        </is>
      </c>
      <c r="E79" s="8" t="inlineStr">
        <is>
          <t>Suivi par culture : suivi du traitement de 2e ligne (TB-RR/MDR)</t>
        </is>
      </c>
      <c r="F79" s="7" t="inlineStr">
        <is>
          <t>Tuberculosis</t>
        </is>
      </c>
      <c r="G79" s="7" t="inlineStr">
        <is>
          <t>Non-XDR cases</t>
        </is>
      </c>
      <c r="H79" s="7" t="n">
        <v>923</v>
      </c>
      <c r="I79" s="7" t="inlineStr">
        <is>
          <t>Available - Tufts (Ratios)</t>
        </is>
      </c>
      <c r="J79" s="7" t="inlineStr">
        <is>
          <t>Available - OHT Senegal ($2023)</t>
        </is>
      </c>
      <c r="K79" s="7" t="inlineStr">
        <is>
          <t>Available</t>
        </is>
      </c>
      <c r="L79" s="7" t="inlineStr">
        <is>
          <t>Oui</t>
        </is>
      </c>
      <c r="M79" s="9" t="inlineStr"/>
      <c r="N79" s="9" t="inlineStr"/>
      <c r="O79" s="9" t="inlineStr"/>
    </row>
    <row r="80">
      <c r="A80" s="7" t="n">
        <v>319</v>
      </c>
      <c r="B80" s="7" t="inlineStr">
        <is>
          <t>TB</t>
        </is>
      </c>
      <c r="C80" s="7" t="inlineStr">
        <is>
          <t>TB diagnosis with microscopy</t>
        </is>
      </c>
      <c r="D80" s="8" t="inlineStr">
        <is>
          <t>Monitoring with microscopy: Test to monitor first-line drug treatment, previously treated cases</t>
        </is>
      </c>
      <c r="E80" s="8" t="inlineStr">
        <is>
          <t>Suivi par microscopie : suivi du traitement de 1re ligne, cas déjà traités</t>
        </is>
      </c>
      <c r="F80" s="7" t="inlineStr">
        <is>
          <t>Tuberculosis</t>
        </is>
      </c>
      <c r="G80" s="7" t="inlineStr">
        <is>
          <t>Previously treated, including relapse</t>
        </is>
      </c>
      <c r="H80" s="7" t="n">
        <v>3001</v>
      </c>
      <c r="I80" s="7" t="inlineStr">
        <is>
          <t>Available - Tufts (Ratios)</t>
        </is>
      </c>
      <c r="J80" s="7" t="inlineStr">
        <is>
          <t>Available - OHT Senegal ($2023)</t>
        </is>
      </c>
      <c r="K80" s="7" t="inlineStr">
        <is>
          <t>Available</t>
        </is>
      </c>
      <c r="L80" s="7" t="inlineStr">
        <is>
          <t>Oui</t>
        </is>
      </c>
      <c r="M80" s="9" t="inlineStr"/>
      <c r="N80" s="9" t="inlineStr"/>
      <c r="O80" s="9" t="inlineStr"/>
    </row>
    <row r="81">
      <c r="A81" s="7" t="n">
        <v>115</v>
      </c>
      <c r="B81" s="7" t="inlineStr">
        <is>
          <t>Maternal/newborn and reproductive health</t>
        </is>
      </c>
      <c r="C81" s="7" t="inlineStr">
        <is>
          <t>Childbirth care - Facility births</t>
        </is>
      </c>
      <c r="D81" s="8" t="inlineStr">
        <is>
          <t>Removal of retained products of conception</t>
        </is>
      </c>
      <c r="E81" s="8" t="inlineStr">
        <is>
          <t>Extraction des produits de conception retenus</t>
        </is>
      </c>
      <c r="F81" s="7" t="inlineStr">
        <is>
          <t>Maternal disorders</t>
        </is>
      </c>
      <c r="G81" s="7" t="inlineStr">
        <is>
          <t>Pregnancies carried to term</t>
        </is>
      </c>
      <c r="H81" s="7" t="n">
        <v>542</v>
      </c>
      <c r="I81" s="7" t="inlineStr">
        <is>
          <t>Missing</t>
        </is>
      </c>
      <c r="J81" s="7" t="inlineStr">
        <is>
          <t>Available - OHT Senegal ($2023)</t>
        </is>
      </c>
      <c r="K81" s="7" t="inlineStr">
        <is>
          <t>Available</t>
        </is>
      </c>
      <c r="L81" s="7" t="inlineStr">
        <is>
          <t>Non</t>
        </is>
      </c>
      <c r="M81" s="9" t="inlineStr"/>
      <c r="N81" s="9" t="inlineStr"/>
      <c r="O81" s="9" t="inlineStr"/>
    </row>
    <row r="82">
      <c r="A82" s="7" t="n">
        <v>320</v>
      </c>
      <c r="B82" s="7" t="inlineStr">
        <is>
          <t>TB</t>
        </is>
      </c>
      <c r="C82" s="7" t="inlineStr">
        <is>
          <t>TB diagnosis with microscopy</t>
        </is>
      </c>
      <c r="D82" s="8" t="inlineStr">
        <is>
          <t>Monitoring with microscopy: Test to monitor second-line treatment for RR-/MDR TB</t>
        </is>
      </c>
      <c r="E82" s="8" t="inlineStr">
        <is>
          <t>Suivi par microscopie : suivi du traitement de 2e ligne (TB-RR/MDR)</t>
        </is>
      </c>
      <c r="F82" s="7" t="inlineStr">
        <is>
          <t>Tuberculosis</t>
        </is>
      </c>
      <c r="G82" s="7" t="inlineStr">
        <is>
          <t>Non-XDR cases</t>
        </is>
      </c>
      <c r="H82" s="7" t="n">
        <v>923</v>
      </c>
      <c r="I82" s="7" t="inlineStr">
        <is>
          <t>Available - Tufts (Ratios)</t>
        </is>
      </c>
      <c r="J82" s="7" t="inlineStr">
        <is>
          <t>Available - OHT Senegal ($2023)</t>
        </is>
      </c>
      <c r="K82" s="7" t="inlineStr">
        <is>
          <t>Available</t>
        </is>
      </c>
      <c r="L82" s="7" t="inlineStr">
        <is>
          <t>Oui</t>
        </is>
      </c>
      <c r="M82" s="9" t="inlineStr"/>
      <c r="N82" s="9" t="inlineStr"/>
      <c r="O82" s="9" t="inlineStr"/>
    </row>
    <row r="83">
      <c r="A83" s="7" t="n">
        <v>303</v>
      </c>
      <c r="B83" s="7" t="inlineStr">
        <is>
          <t>Nutrition</t>
        </is>
      </c>
      <c r="C83" s="7" t="inlineStr">
        <is>
          <t>Pregnant and lactating women</t>
        </is>
      </c>
      <c r="D83" s="8" t="inlineStr">
        <is>
          <t>Intermittent FAF, postpartum, non-anemic pregnant women</t>
        </is>
      </c>
      <c r="E83" s="8" t="inlineStr">
        <is>
          <t>Fer-folates intermittent, post-partum, femmes non anémiques</t>
        </is>
      </c>
      <c r="F83" s="7" t="inlineStr">
        <is>
          <t>Dietary iron deficiency</t>
        </is>
      </c>
      <c r="G83" s="7" t="inlineStr">
        <is>
          <t>Live births</t>
        </is>
      </c>
      <c r="H83" s="7" t="n">
        <v>531616</v>
      </c>
      <c r="I83" s="7" t="inlineStr">
        <is>
          <t>Missing</t>
        </is>
      </c>
      <c r="J83" s="7" t="inlineStr">
        <is>
          <t>Available - OHT Senegal ($2023)</t>
        </is>
      </c>
      <c r="K83" s="7" t="inlineStr">
        <is>
          <t>Available</t>
        </is>
      </c>
      <c r="L83" s="7" t="inlineStr">
        <is>
          <t>Non</t>
        </is>
      </c>
      <c r="M83" s="9" t="inlineStr"/>
      <c r="N83" s="9" t="inlineStr"/>
      <c r="O83" s="9" t="inlineStr"/>
    </row>
    <row r="84">
      <c r="A84" s="7" t="n">
        <v>27</v>
      </c>
      <c r="B84" s="7" t="inlineStr">
        <is>
          <t>HIV/AIDS</t>
        </is>
      </c>
      <c r="C84" s="7" t="inlineStr">
        <is>
          <t>Prevention - Other</t>
        </is>
      </c>
      <c r="D84" s="8" t="inlineStr">
        <is>
          <t>PrEP</t>
        </is>
      </c>
      <c r="E84" s="8" t="inlineStr">
        <is>
          <t>PrEP (prophylaxie pré-exposition)</t>
        </is>
      </c>
      <c r="F84" s="7" t="inlineStr">
        <is>
          <t>HIV/AIDS</t>
        </is>
      </c>
      <c r="G84" s="7" t="inlineStr">
        <is>
          <t>Adults 15-49</t>
        </is>
      </c>
      <c r="H84" s="7" t="n">
        <v>9211758</v>
      </c>
      <c r="I84" s="7" t="inlineStr">
        <is>
          <t>Available - Uganda fallback</t>
        </is>
      </c>
      <c r="J84" s="7" t="inlineStr">
        <is>
          <t>Available - OHT Senegal ($2023)</t>
        </is>
      </c>
      <c r="K84" s="7" t="inlineStr">
        <is>
          <t>Available</t>
        </is>
      </c>
      <c r="L84" s="7" t="inlineStr">
        <is>
          <t>Oui</t>
        </is>
      </c>
      <c r="M84" s="9" t="inlineStr"/>
      <c r="N84" s="9" t="inlineStr"/>
      <c r="O84" s="9" t="inlineStr"/>
    </row>
    <row r="85">
      <c r="A85" s="7" t="n">
        <v>124</v>
      </c>
      <c r="B85" s="7" t="inlineStr">
        <is>
          <t>Maternal/newborn and reproductive health</t>
        </is>
      </c>
      <c r="C85" s="7" t="inlineStr">
        <is>
          <t>Pregnancy care - Treatment of pregnancy complications</t>
        </is>
      </c>
      <c r="D85" s="8" t="inlineStr">
        <is>
          <t>Management of other pregnancy complications</t>
        </is>
      </c>
      <c r="E85" s="8" t="inlineStr">
        <is>
          <t>Prise en charge d'autres complications de la grossesse</t>
        </is>
      </c>
      <c r="F85" s="7" t="inlineStr">
        <is>
          <t>Maternal disorders</t>
        </is>
      </c>
      <c r="G85" s="7" t="inlineStr">
        <is>
          <t>Pregnant women</t>
        </is>
      </c>
      <c r="H85" s="7" t="n">
        <v>686388</v>
      </c>
      <c r="I85" s="7" t="inlineStr">
        <is>
          <t>Available - Tufts (Ratios)</t>
        </is>
      </c>
      <c r="J85" s="7" t="inlineStr">
        <is>
          <t>Available - OHT Senegal ($2023)</t>
        </is>
      </c>
      <c r="K85" s="7" t="inlineStr">
        <is>
          <t>Available</t>
        </is>
      </c>
      <c r="L85" s="7" t="inlineStr">
        <is>
          <t>Oui</t>
        </is>
      </c>
      <c r="M85" s="9" t="inlineStr"/>
      <c r="N85" s="9" t="inlineStr"/>
      <c r="O85" s="9" t="inlineStr"/>
    </row>
    <row r="86">
      <c r="A86" s="7" t="n">
        <v>72</v>
      </c>
      <c r="B86" s="7" t="inlineStr">
        <is>
          <t>Maternal/newborn and reproductive health</t>
        </is>
      </c>
      <c r="C86" s="7" t="inlineStr">
        <is>
          <t>Management of abortion complications</t>
        </is>
      </c>
      <c r="D86" s="8" t="inlineStr">
        <is>
          <t>Post-abortion case management</t>
        </is>
      </c>
      <c r="E86" s="8" t="inlineStr">
        <is>
          <t>Prise en charge post-avortement</t>
        </is>
      </c>
      <c r="F86" s="7" t="inlineStr">
        <is>
          <t>Maternal disorders</t>
        </is>
      </c>
      <c r="G86" s="7" t="inlineStr">
        <is>
          <t>Abortions</t>
        </is>
      </c>
      <c r="H86" s="7" t="n">
        <v>485</v>
      </c>
      <c r="I86" s="7" t="inlineStr">
        <is>
          <t>Available - Uganda fallback</t>
        </is>
      </c>
      <c r="J86" s="7" t="inlineStr">
        <is>
          <t>Available - OHT Senegal ($2023)</t>
        </is>
      </c>
      <c r="K86" s="7" t="inlineStr">
        <is>
          <t>Available</t>
        </is>
      </c>
      <c r="L86" s="7" t="inlineStr">
        <is>
          <t>Oui</t>
        </is>
      </c>
      <c r="M86" s="9" t="inlineStr"/>
      <c r="N86" s="9" t="inlineStr"/>
      <c r="O86" s="9" t="inlineStr"/>
    </row>
    <row r="87">
      <c r="A87" s="7" t="n">
        <v>107</v>
      </c>
      <c r="B87" s="7" t="inlineStr">
        <is>
          <t>Maternal/newborn and reproductive health</t>
        </is>
      </c>
      <c r="C87" s="7" t="inlineStr">
        <is>
          <t>Childbirth care - Facility births</t>
        </is>
      </c>
      <c r="D87" s="8" t="inlineStr">
        <is>
          <t>Neonatal resuscitation</t>
        </is>
      </c>
      <c r="E87" s="8" t="inlineStr">
        <is>
          <t>Réanimation néonatale</t>
        </is>
      </c>
      <c r="F87" s="7" t="inlineStr">
        <is>
          <t>Neonatal disorders</t>
        </is>
      </c>
      <c r="G87" s="7" t="inlineStr">
        <is>
          <t>Live births</t>
        </is>
      </c>
      <c r="H87" s="7" t="n">
        <v>21265</v>
      </c>
      <c r="I87" s="7" t="inlineStr">
        <is>
          <t>Available - Uganda fallback</t>
        </is>
      </c>
      <c r="J87" s="7" t="inlineStr">
        <is>
          <t>Available - OHT Senegal ($2023)</t>
        </is>
      </c>
      <c r="K87" s="7" t="inlineStr">
        <is>
          <t>Available</t>
        </is>
      </c>
      <c r="L87" s="7" t="inlineStr">
        <is>
          <t>Oui</t>
        </is>
      </c>
      <c r="M87" s="9" t="inlineStr"/>
      <c r="N87" s="9" t="inlineStr"/>
      <c r="O87" s="9" t="inlineStr"/>
    </row>
    <row r="88">
      <c r="A88" s="7" t="n">
        <v>110</v>
      </c>
      <c r="B88" s="7" t="inlineStr">
        <is>
          <t>Maternal/newborn and reproductive health</t>
        </is>
      </c>
      <c r="C88" s="7" t="inlineStr">
        <is>
          <t>Childbirth care - Facility births</t>
        </is>
      </c>
      <c r="D88" s="8" t="inlineStr">
        <is>
          <t>MgSO4 for eclampsia</t>
        </is>
      </c>
      <c r="E88" s="8" t="inlineStr">
        <is>
          <t>Sulfate de magnésium pour l'éclampsie</t>
        </is>
      </c>
      <c r="F88" s="7" t="inlineStr">
        <is>
          <t>Maternal disorders</t>
        </is>
      </c>
      <c r="G88" s="7" t="inlineStr">
        <is>
          <t>Pregnancies carried to term</t>
        </is>
      </c>
      <c r="H88" s="7" t="n">
        <v>7585</v>
      </c>
      <c r="I88" s="7" t="inlineStr">
        <is>
          <t>Available - Uganda fallback</t>
        </is>
      </c>
      <c r="J88" s="7" t="inlineStr">
        <is>
          <t>Available - OHT Senegal ($2023)</t>
        </is>
      </c>
      <c r="K88" s="7" t="inlineStr">
        <is>
          <t>Available</t>
        </is>
      </c>
      <c r="L88" s="7" t="inlineStr">
        <is>
          <t>Oui</t>
        </is>
      </c>
      <c r="M88" s="9" t="inlineStr"/>
      <c r="N88" s="9" t="inlineStr"/>
      <c r="O88" s="9" t="inlineStr"/>
    </row>
    <row r="89">
      <c r="A89" s="7" t="n">
        <v>113</v>
      </c>
      <c r="B89" s="7" t="inlineStr">
        <is>
          <t>Maternal/newborn and reproductive health</t>
        </is>
      </c>
      <c r="C89" s="7" t="inlineStr">
        <is>
          <t>Childbirth care - Facility births</t>
        </is>
      </c>
      <c r="D89" s="8" t="inlineStr">
        <is>
          <t>Labor and delivery management</t>
        </is>
      </c>
      <c r="E89" s="8" t="inlineStr">
        <is>
          <t>Prise en charge du travail et de l'accouchement</t>
        </is>
      </c>
      <c r="F89" s="7" t="inlineStr">
        <is>
          <t>Maternal disorders</t>
        </is>
      </c>
      <c r="G89" s="7" t="inlineStr">
        <is>
          <t>Pregnancies carried to term</t>
        </is>
      </c>
      <c r="H89" s="7" t="n">
        <v>487596</v>
      </c>
      <c r="I89" s="7" t="inlineStr">
        <is>
          <t>Available - Uganda fallback</t>
        </is>
      </c>
      <c r="J89" s="7" t="inlineStr">
        <is>
          <t>Available - OHT Senegal ($2023)</t>
        </is>
      </c>
      <c r="K89" s="7" t="inlineStr">
        <is>
          <t>Available</t>
        </is>
      </c>
      <c r="L89" s="7" t="inlineStr">
        <is>
          <t>Oui</t>
        </is>
      </c>
      <c r="M89" s="9" t="inlineStr"/>
      <c r="N89" s="9" t="inlineStr"/>
      <c r="O89" s="9" t="inlineStr"/>
    </row>
    <row r="90">
      <c r="A90" s="7" t="n">
        <v>55</v>
      </c>
      <c r="B90" s="7" t="inlineStr">
        <is>
          <t>Immunization</t>
        </is>
      </c>
      <c r="C90" s="7" t="inlineStr">
        <is>
          <t>Immunization</t>
        </is>
      </c>
      <c r="D90" s="8" t="inlineStr">
        <is>
          <t>Measles vaccine</t>
        </is>
      </c>
      <c r="E90" s="8" t="inlineStr">
        <is>
          <t>Vaccin antirougeoleux</t>
        </is>
      </c>
      <c r="F90" s="7" t="inlineStr">
        <is>
          <t>Measles</t>
        </is>
      </c>
      <c r="G90" s="7" t="inlineStr">
        <is>
          <t>Infants surviving past one month</t>
        </is>
      </c>
      <c r="H90" s="7" t="n">
        <v>520747</v>
      </c>
      <c r="I90" s="7" t="inlineStr">
        <is>
          <t>Available - Uganda fallback</t>
        </is>
      </c>
      <c r="J90" s="7" t="inlineStr">
        <is>
          <t>Available - OHT Senegal ($2023)</t>
        </is>
      </c>
      <c r="K90" s="7" t="inlineStr">
        <is>
          <t>Available</t>
        </is>
      </c>
      <c r="L90" s="7" t="inlineStr">
        <is>
          <t>Oui</t>
        </is>
      </c>
      <c r="M90" s="9" t="inlineStr"/>
      <c r="N90" s="9" t="inlineStr"/>
      <c r="O90" s="9" t="inlineStr"/>
    </row>
    <row r="91">
      <c r="A91" s="7" t="n">
        <v>99</v>
      </c>
      <c r="B91" s="7" t="inlineStr">
        <is>
          <t>Maternal/newborn and reproductive health</t>
        </is>
      </c>
      <c r="C91" s="7" t="inlineStr">
        <is>
          <t>Pregancy care - ANC</t>
        </is>
      </c>
      <c r="D91" s="8" t="inlineStr">
        <is>
          <t>Tetanus toxoid (pregnant women)</t>
        </is>
      </c>
      <c r="E91" s="8" t="inlineStr">
        <is>
          <t>Anatoxine tétanique (femmes enceintes)</t>
        </is>
      </c>
      <c r="F91" s="7" t="inlineStr">
        <is>
          <t>Neonatal disorders</t>
        </is>
      </c>
      <c r="G91" s="7" t="inlineStr">
        <is>
          <t>Pregnant women</t>
        </is>
      </c>
      <c r="H91" s="7" t="n">
        <v>686388</v>
      </c>
      <c r="I91" s="7" t="inlineStr">
        <is>
          <t>Available - Uganda fallback</t>
        </is>
      </c>
      <c r="J91" s="7" t="inlineStr">
        <is>
          <t>Available - OHT Senegal ($2023)</t>
        </is>
      </c>
      <c r="K91" s="7" t="inlineStr">
        <is>
          <t>Available</t>
        </is>
      </c>
      <c r="L91" s="7" t="inlineStr">
        <is>
          <t>Oui</t>
        </is>
      </c>
      <c r="M91" s="9" t="inlineStr"/>
      <c r="N91" s="9" t="inlineStr"/>
      <c r="O91" s="9" t="inlineStr"/>
    </row>
    <row r="92">
      <c r="A92" s="7" t="n">
        <v>102</v>
      </c>
      <c r="B92" s="7" t="inlineStr">
        <is>
          <t>Maternal/newborn and reproductive health</t>
        </is>
      </c>
      <c r="C92" s="7" t="inlineStr">
        <is>
          <t>Pregnancy care - Treatment of pregnancy complications</t>
        </is>
      </c>
      <c r="D92" s="8" t="inlineStr">
        <is>
          <t>Management of pre-eclampsia (Magnesium sulphate)</t>
        </is>
      </c>
      <c r="E92" s="8" t="inlineStr">
        <is>
          <t>Prise en charge de la pré-éclampsie (sulfate de magnésium)</t>
        </is>
      </c>
      <c r="F92" s="7" t="inlineStr">
        <is>
          <t>Maternal disorders</t>
        </is>
      </c>
      <c r="G92" s="7" t="inlineStr">
        <is>
          <t>Pregnant women</t>
        </is>
      </c>
      <c r="H92" s="7" t="n">
        <v>31574</v>
      </c>
      <c r="I92" s="7" t="inlineStr">
        <is>
          <t>Available - Uganda fallback</t>
        </is>
      </c>
      <c r="J92" s="7" t="inlineStr">
        <is>
          <t>Available - OHT Senegal ($2023)</t>
        </is>
      </c>
      <c r="K92" s="7" t="inlineStr">
        <is>
          <t>Available</t>
        </is>
      </c>
      <c r="L92" s="7" t="inlineStr">
        <is>
          <t>Oui</t>
        </is>
      </c>
      <c r="M92" s="9" t="inlineStr"/>
      <c r="N92" s="9" t="inlineStr"/>
      <c r="O92" s="9" t="inlineStr"/>
    </row>
    <row r="93">
      <c r="A93" s="7" t="n">
        <v>71</v>
      </c>
      <c r="B93" s="7" t="inlineStr">
        <is>
          <t>Maternal/newborn and reproductive health</t>
        </is>
      </c>
      <c r="C93" s="7" t="inlineStr">
        <is>
          <t>Safe abortion</t>
        </is>
      </c>
      <c r="D93" s="8" t="inlineStr">
        <is>
          <t>Safe abortion</t>
        </is>
      </c>
      <c r="E93" s="8" t="inlineStr">
        <is>
          <t>Avortement sécurisé</t>
        </is>
      </c>
      <c r="F93" s="7" t="inlineStr">
        <is>
          <t>Maternal disorders</t>
        </is>
      </c>
      <c r="G93" s="7" t="inlineStr">
        <is>
          <t>Safe abortion</t>
        </is>
      </c>
      <c r="H93" s="7" t="n">
        <v>65542</v>
      </c>
      <c r="I93" s="7" t="inlineStr">
        <is>
          <t>Available - Uganda fallback</t>
        </is>
      </c>
      <c r="J93" s="7" t="inlineStr">
        <is>
          <t>Available - OHT Senegal ($2023)</t>
        </is>
      </c>
      <c r="K93" s="7" t="inlineStr">
        <is>
          <t>Available</t>
        </is>
      </c>
      <c r="L93" s="7" t="inlineStr">
        <is>
          <t>Oui</t>
        </is>
      </c>
      <c r="M93" s="9" t="inlineStr"/>
      <c r="N93" s="9" t="inlineStr"/>
      <c r="O93" s="9" t="inlineStr"/>
    </row>
    <row r="94">
      <c r="A94" s="7" t="n">
        <v>101</v>
      </c>
      <c r="B94" s="7" t="inlineStr">
        <is>
          <t>Maternal/newborn and reproductive health</t>
        </is>
      </c>
      <c r="C94" s="7" t="inlineStr">
        <is>
          <t>Pregnancy care - Treatment of pregnancy complications</t>
        </is>
      </c>
      <c r="D94" s="8" t="inlineStr">
        <is>
          <t>Hypertensive disorder case management</t>
        </is>
      </c>
      <c r="E94" s="8" t="inlineStr">
        <is>
          <t>Prise en charge des troubles hypertensifs de la grossesse</t>
        </is>
      </c>
      <c r="F94" s="7" t="inlineStr">
        <is>
          <t>Maternal disorders</t>
        </is>
      </c>
      <c r="G94" s="7" t="inlineStr">
        <is>
          <t>Pregnant women</t>
        </is>
      </c>
      <c r="H94" s="7" t="n">
        <v>45988</v>
      </c>
      <c r="I94" s="7" t="inlineStr">
        <is>
          <t>Available - Uganda fallback</t>
        </is>
      </c>
      <c r="J94" s="7" t="inlineStr">
        <is>
          <t>Available - OHT Senegal ($2023)</t>
        </is>
      </c>
      <c r="K94" s="7" t="inlineStr">
        <is>
          <t>Available</t>
        </is>
      </c>
      <c r="L94" s="7" t="inlineStr">
        <is>
          <t>Oui</t>
        </is>
      </c>
      <c r="M94" s="9" t="inlineStr"/>
      <c r="N94" s="9" t="inlineStr"/>
      <c r="O94" s="9" t="inlineStr"/>
    </row>
    <row r="95">
      <c r="A95" s="7" t="n">
        <v>35</v>
      </c>
      <c r="B95" s="7" t="inlineStr">
        <is>
          <t>HIV/AIDS</t>
        </is>
      </c>
      <c r="C95" s="7" t="inlineStr">
        <is>
          <t>Care and treatment</t>
        </is>
      </c>
      <c r="D95" s="8" t="inlineStr">
        <is>
          <t>ART (First-Line Treatment) for men</t>
        </is>
      </c>
      <c r="E95" s="8" t="inlineStr">
        <is>
          <t>TAR - traitement de 1re ligne (hommes)</t>
        </is>
      </c>
      <c r="F95" s="7" t="inlineStr">
        <is>
          <t>HIV/AIDS</t>
        </is>
      </c>
      <c r="G95" s="7" t="inlineStr">
        <is>
          <t>Number of men needing ART</t>
        </is>
      </c>
      <c r="H95" s="7" t="n">
        <v>19270</v>
      </c>
      <c r="I95" s="7" t="inlineStr">
        <is>
          <t>Available - Uganda fallback</t>
        </is>
      </c>
      <c r="J95" s="7" t="inlineStr">
        <is>
          <t>Available - OHT Senegal ($2023)</t>
        </is>
      </c>
      <c r="K95" s="7" t="inlineStr">
        <is>
          <t>Available</t>
        </is>
      </c>
      <c r="L95" s="7" t="inlineStr">
        <is>
          <t>Oui</t>
        </is>
      </c>
      <c r="M95" s="9" t="inlineStr"/>
      <c r="N95" s="9" t="inlineStr"/>
      <c r="O95" s="9" t="inlineStr"/>
    </row>
    <row r="96">
      <c r="A96" s="7" t="n">
        <v>36</v>
      </c>
      <c r="B96" s="7" t="inlineStr">
        <is>
          <t>HIV/AIDS</t>
        </is>
      </c>
      <c r="C96" s="7" t="inlineStr">
        <is>
          <t>Care and treatment</t>
        </is>
      </c>
      <c r="D96" s="8" t="inlineStr">
        <is>
          <t>ART (First-Line Treatment) for women</t>
        </is>
      </c>
      <c r="E96" s="8" t="inlineStr">
        <is>
          <t>TAR - traitement de 1re ligne (femmes)</t>
        </is>
      </c>
      <c r="F96" s="7" t="inlineStr">
        <is>
          <t>HIV/AIDS</t>
        </is>
      </c>
      <c r="G96" s="7" t="inlineStr">
        <is>
          <t>Number of women needing ART</t>
        </is>
      </c>
      <c r="H96" s="7" t="n">
        <v>23473</v>
      </c>
      <c r="I96" s="7" t="inlineStr">
        <is>
          <t>Available - Uganda fallback</t>
        </is>
      </c>
      <c r="J96" s="7" t="inlineStr">
        <is>
          <t>Available - OHT Senegal ($2023)</t>
        </is>
      </c>
      <c r="K96" s="7" t="inlineStr">
        <is>
          <t>Available</t>
        </is>
      </c>
      <c r="L96" s="7" t="inlineStr">
        <is>
          <t>Oui</t>
        </is>
      </c>
      <c r="M96" s="9" t="inlineStr"/>
      <c r="N96" s="9" t="inlineStr"/>
      <c r="O96" s="9" t="inlineStr"/>
    </row>
    <row r="97">
      <c r="A97" s="7" t="n">
        <v>15</v>
      </c>
      <c r="B97" s="7" t="inlineStr">
        <is>
          <t>HIV/AIDS</t>
        </is>
      </c>
      <c r="C97" s="7" t="inlineStr">
        <is>
          <t>Prevention - Other</t>
        </is>
      </c>
      <c r="D97" s="8" t="inlineStr">
        <is>
          <t>PMTCT</t>
        </is>
      </c>
      <c r="E97" s="8" t="inlineStr">
        <is>
          <t>PTME (prévention de la transmission mère-enfant du VIH)</t>
        </is>
      </c>
      <c r="F97" s="7" t="inlineStr">
        <is>
          <t>HIV/AIDS</t>
        </is>
      </c>
      <c r="G97" s="7" t="inlineStr">
        <is>
          <t>Women in need of PMTCT</t>
        </is>
      </c>
      <c r="H97" s="7" t="n">
        <v>1343</v>
      </c>
      <c r="I97" s="7" t="inlineStr">
        <is>
          <t>Available - Uganda fallback</t>
        </is>
      </c>
      <c r="J97" s="7" t="inlineStr">
        <is>
          <t>Available - OHT Senegal ($2023)</t>
        </is>
      </c>
      <c r="K97" s="7" t="inlineStr">
        <is>
          <t>Available</t>
        </is>
      </c>
      <c r="L97" s="7" t="inlineStr">
        <is>
          <t>Oui</t>
        </is>
      </c>
      <c r="M97" s="9" t="inlineStr"/>
      <c r="N97" s="9" t="inlineStr"/>
      <c r="O97" s="9" t="inlineStr"/>
    </row>
    <row r="98">
      <c r="A98" s="7" t="n">
        <v>206</v>
      </c>
      <c r="B98" s="7" t="inlineStr">
        <is>
          <t>Non-communicable diseases</t>
        </is>
      </c>
      <c r="C98" s="7" t="inlineStr">
        <is>
          <t>CVD &amp; diabetes</t>
        </is>
      </c>
      <c r="D98" s="8" t="inlineStr">
        <is>
          <t>Treatment for those with absolute risk of CVD/diabetes 20-30%</t>
        </is>
      </c>
      <c r="E98" s="8" t="inlineStr">
        <is>
          <t>Traitement pour risque absolu CV/diabète 20-30 %</t>
        </is>
      </c>
      <c r="F98" s="7" t="inlineStr">
        <is>
          <t>Ischemic heart disease</t>
        </is>
      </c>
      <c r="G98" s="7" t="inlineStr">
        <is>
          <t>People with a 20-30% chance of developing CVD or diabetes</t>
        </is>
      </c>
      <c r="H98" s="7" t="n">
        <v>249685.759125</v>
      </c>
      <c r="I98" s="7" t="inlineStr">
        <is>
          <t>Available - Tufts (Ratios)</t>
        </is>
      </c>
      <c r="J98" s="7" t="inlineStr">
        <is>
          <t>Available - OHT Senegal ($2023)</t>
        </is>
      </c>
      <c r="K98" s="7" t="inlineStr">
        <is>
          <t>Available</t>
        </is>
      </c>
      <c r="L98" s="7" t="inlineStr">
        <is>
          <t>Oui</t>
        </is>
      </c>
      <c r="M98" s="9" t="inlineStr"/>
      <c r="N98" s="9" t="inlineStr"/>
      <c r="O98" s="9" t="inlineStr"/>
    </row>
    <row r="99">
      <c r="A99" s="7" t="n">
        <v>5</v>
      </c>
      <c r="B99" s="7" t="inlineStr">
        <is>
          <t>Child health</t>
        </is>
      </c>
      <c r="C99" s="7" t="inlineStr">
        <is>
          <t>Pneumonia</t>
        </is>
      </c>
      <c r="D99" s="8" t="inlineStr">
        <is>
          <t>Pneumonia treatment (children)</t>
        </is>
      </c>
      <c r="E99" s="8" t="inlineStr">
        <is>
          <t>Traitement de la pneumonie (enfants)</t>
        </is>
      </c>
      <c r="F99" s="7" t="inlineStr">
        <is>
          <t>Lower respiratory infections</t>
        </is>
      </c>
      <c r="G99" s="7" t="inlineStr">
        <is>
          <t>Children 1-59 months</t>
        </is>
      </c>
      <c r="H99" s="7" t="n">
        <v>3266761</v>
      </c>
      <c r="I99" s="7" t="inlineStr">
        <is>
          <t>Available - Uganda fallback</t>
        </is>
      </c>
      <c r="J99" s="7" t="inlineStr">
        <is>
          <t>Available - OHT Senegal ($2023)</t>
        </is>
      </c>
      <c r="K99" s="7" t="inlineStr">
        <is>
          <t>Available</t>
        </is>
      </c>
      <c r="L99" s="7" t="inlineStr">
        <is>
          <t>Oui</t>
        </is>
      </c>
      <c r="M99" s="9" t="inlineStr"/>
      <c r="N99" s="9" t="inlineStr"/>
      <c r="O99" s="9" t="inlineStr"/>
    </row>
    <row r="100">
      <c r="A100" s="7" t="n">
        <v>307</v>
      </c>
      <c r="B100" s="7" t="inlineStr">
        <is>
          <t>Nutrition</t>
        </is>
      </c>
      <c r="C100" s="7" t="inlineStr">
        <is>
          <t>Children</t>
        </is>
      </c>
      <c r="D100" s="8" t="inlineStr">
        <is>
          <t>Intermittent iron supplementation in children</t>
        </is>
      </c>
      <c r="E100" s="8" t="inlineStr">
        <is>
          <t>Supplémentation intermittente en fer chez l'enfant</t>
        </is>
      </c>
      <c r="F100" s="7" t="inlineStr">
        <is>
          <t>Dietary iron deficiency</t>
        </is>
      </c>
      <c r="G100" s="7" t="inlineStr">
        <is>
          <t>Children 2-12</t>
        </is>
      </c>
      <c r="H100" s="7" t="n">
        <v>5134316</v>
      </c>
      <c r="I100" s="7" t="inlineStr">
        <is>
          <t>Available - Tufts (Ratios)</t>
        </is>
      </c>
      <c r="J100" s="7" t="inlineStr">
        <is>
          <t>Available - OHT Senegal ($2023)</t>
        </is>
      </c>
      <c r="K100" s="7" t="inlineStr">
        <is>
          <t>Available</t>
        </is>
      </c>
      <c r="L100" s="7" t="inlineStr">
        <is>
          <t>Oui</t>
        </is>
      </c>
      <c r="M100" s="9" t="inlineStr"/>
      <c r="N100" s="9" t="inlineStr"/>
      <c r="O100" s="9" t="inlineStr"/>
    </row>
    <row r="101">
      <c r="A101" s="7" t="n">
        <v>109</v>
      </c>
      <c r="B101" s="7" t="inlineStr">
        <is>
          <t>Maternal/newborn and reproductive health</t>
        </is>
      </c>
      <c r="C101" s="7" t="inlineStr">
        <is>
          <t>Childbirth care - Other</t>
        </is>
      </c>
      <c r="D101" s="8" t="inlineStr">
        <is>
          <t>Antibiotics for preterm PROM</t>
        </is>
      </c>
      <c r="E101" s="8" t="inlineStr">
        <is>
          <t>Antibiotiques pour rupture prématurée des membranes</t>
        </is>
      </c>
      <c r="F101" s="7" t="inlineStr">
        <is>
          <t>Neonatal disorders</t>
        </is>
      </c>
      <c r="G101" s="7" t="inlineStr">
        <is>
          <t>Pregnancies carried to term</t>
        </is>
      </c>
      <c r="H101" s="7" t="n">
        <v>34312</v>
      </c>
      <c r="I101" s="7" t="inlineStr">
        <is>
          <t>Available - Uganda fallback</t>
        </is>
      </c>
      <c r="J101" s="7" t="inlineStr">
        <is>
          <t>Available - OHT Senegal ($2023)</t>
        </is>
      </c>
      <c r="K101" s="7" t="inlineStr">
        <is>
          <t>Available</t>
        </is>
      </c>
      <c r="L101" s="7" t="inlineStr">
        <is>
          <t>Oui</t>
        </is>
      </c>
      <c r="M101" s="9" t="inlineStr"/>
      <c r="N101" s="9" t="inlineStr"/>
      <c r="O101" s="9" t="inlineStr"/>
    </row>
    <row r="102">
      <c r="A102" s="7" t="n">
        <v>44</v>
      </c>
      <c r="B102" s="7" t="inlineStr">
        <is>
          <t>HIV/AIDS</t>
        </is>
      </c>
      <c r="C102" s="7" t="inlineStr">
        <is>
          <t>Collaborative HIV/AIDS and TB interventions</t>
        </is>
      </c>
      <c r="D102" s="8" t="inlineStr">
        <is>
          <t>Screen HIV+ cases for TB</t>
        </is>
      </c>
      <c r="E102" s="8" t="inlineStr">
        <is>
          <t>Dépistage de la TB chez les personnes VIH+</t>
        </is>
      </c>
      <c r="F102" s="7" t="inlineStr">
        <is>
          <t>HIV/AIDS</t>
        </is>
      </c>
      <c r="G102" s="7" t="inlineStr">
        <is>
          <t>Number of people who are HIV+</t>
        </is>
      </c>
      <c r="H102" s="7" t="n">
        <v>45073</v>
      </c>
      <c r="I102" s="7" t="inlineStr">
        <is>
          <t>Available - Tufts (Ratios)</t>
        </is>
      </c>
      <c r="J102" s="7" t="inlineStr">
        <is>
          <t>Available - OHT Senegal ($2023)</t>
        </is>
      </c>
      <c r="K102" s="7" t="inlineStr">
        <is>
          <t>Available</t>
        </is>
      </c>
      <c r="L102" s="7" t="inlineStr">
        <is>
          <t>Oui</t>
        </is>
      </c>
      <c r="M102" s="9" t="inlineStr"/>
      <c r="N102" s="9" t="inlineStr"/>
      <c r="O102" s="9" t="inlineStr"/>
    </row>
    <row r="103">
      <c r="A103" s="7" t="n">
        <v>108</v>
      </c>
      <c r="B103" s="7" t="inlineStr">
        <is>
          <t>Maternal/newborn and reproductive health</t>
        </is>
      </c>
      <c r="C103" s="7" t="inlineStr">
        <is>
          <t>Childbirth care - Other</t>
        </is>
      </c>
      <c r="D103" s="8" t="inlineStr">
        <is>
          <t>Antenatal corticosteroids for preterm labor</t>
        </is>
      </c>
      <c r="E103" s="8" t="inlineStr">
        <is>
          <t>Corticothérapie anténatale pour travail prématuré</t>
        </is>
      </c>
      <c r="F103" s="7" t="inlineStr">
        <is>
          <t>Neonatal disorders</t>
        </is>
      </c>
      <c r="G103" s="7" t="inlineStr">
        <is>
          <t>Pregnancies carried to term</t>
        </is>
      </c>
      <c r="H103" s="7" t="n">
        <v>37924</v>
      </c>
      <c r="I103" s="7" t="inlineStr">
        <is>
          <t>Available - Tufts (Ratios)</t>
        </is>
      </c>
      <c r="J103" s="7" t="inlineStr">
        <is>
          <t>Available - OHT Senegal ($2023)</t>
        </is>
      </c>
      <c r="K103" s="7" t="inlineStr">
        <is>
          <t>Available</t>
        </is>
      </c>
      <c r="L103" s="7" t="inlineStr">
        <is>
          <t>Oui</t>
        </is>
      </c>
      <c r="M103" s="9" t="inlineStr"/>
      <c r="N103" s="9" t="inlineStr"/>
      <c r="O103" s="9" t="inlineStr"/>
    </row>
    <row r="104">
      <c r="A104" s="7" t="n">
        <v>298</v>
      </c>
      <c r="B104" s="7" t="inlineStr">
        <is>
          <t>Nutrition</t>
        </is>
      </c>
      <c r="C104" s="7" t="inlineStr">
        <is>
          <t>Pregnant and lactating women</t>
        </is>
      </c>
      <c r="D104" s="8" t="inlineStr">
        <is>
          <t>Intermittent iron and folic acid supplementation (non-anaemic pregnant women)</t>
        </is>
      </c>
      <c r="E104" s="8" t="inlineStr">
        <is>
          <t>Supplémentation intermittente en fer-folates (femmes enceintes non anémiques)</t>
        </is>
      </c>
      <c r="F104" s="7" t="inlineStr">
        <is>
          <t>Dietary iron deficiency</t>
        </is>
      </c>
      <c r="G104" s="7" t="inlineStr">
        <is>
          <t>Pregnant women</t>
        </is>
      </c>
      <c r="H104" s="7" t="n">
        <v>294461</v>
      </c>
      <c r="I104" s="7" t="inlineStr">
        <is>
          <t>Available - Tufts (Ratios)</t>
        </is>
      </c>
      <c r="J104" s="7" t="inlineStr">
        <is>
          <t>Available - OHT Senegal ($2023)</t>
        </is>
      </c>
      <c r="K104" s="7" t="inlineStr">
        <is>
          <t>Available</t>
        </is>
      </c>
      <c r="L104" s="7" t="inlineStr">
        <is>
          <t>Oui</t>
        </is>
      </c>
      <c r="M104" s="9" t="inlineStr"/>
      <c r="N104" s="9" t="inlineStr"/>
      <c r="O104" s="9" t="inlineStr"/>
    </row>
    <row r="105">
      <c r="A105" s="7" t="n">
        <v>54</v>
      </c>
      <c r="B105" s="7" t="inlineStr">
        <is>
          <t>Immunization</t>
        </is>
      </c>
      <c r="C105" s="7" t="inlineStr">
        <is>
          <t>Immunization</t>
        </is>
      </c>
      <c r="D105" s="8" t="inlineStr">
        <is>
          <t>Rotavirus vaccine</t>
        </is>
      </c>
      <c r="E105" s="8" t="inlineStr">
        <is>
          <t>Vaccin rotavirus</t>
        </is>
      </c>
      <c r="F105" s="7" t="inlineStr">
        <is>
          <t>Diarrheal diseases</t>
        </is>
      </c>
      <c r="G105" s="7" t="inlineStr">
        <is>
          <t>Infants surviving past one month</t>
        </is>
      </c>
      <c r="H105" s="7" t="n">
        <v>520747</v>
      </c>
      <c r="I105" s="7" t="inlineStr">
        <is>
          <t>Available - Uganda fallback</t>
        </is>
      </c>
      <c r="J105" s="7" t="inlineStr">
        <is>
          <t>Available - OHT Senegal ($2023)</t>
        </is>
      </c>
      <c r="K105" s="7" t="inlineStr">
        <is>
          <t>Available</t>
        </is>
      </c>
      <c r="L105" s="7" t="inlineStr">
        <is>
          <t>Oui</t>
        </is>
      </c>
      <c r="M105" s="9" t="inlineStr"/>
      <c r="N105" s="9" t="inlineStr"/>
      <c r="O105" s="9" t="inlineStr"/>
    </row>
    <row r="106">
      <c r="A106" s="7" t="n">
        <v>11</v>
      </c>
      <c r="B106" s="7" t="inlineStr">
        <is>
          <t>Child health</t>
        </is>
      </c>
      <c r="C106" s="7" t="inlineStr">
        <is>
          <t>Diarrhea management</t>
        </is>
      </c>
      <c r="D106" s="8" t="inlineStr">
        <is>
          <t>Treatment of severe diarrhea</t>
        </is>
      </c>
      <c r="E106" s="8" t="inlineStr">
        <is>
          <t>Traitement de la diarrhée sévère</t>
        </is>
      </c>
      <c r="F106" s="7" t="inlineStr">
        <is>
          <t>Diarrheal diseases</t>
        </is>
      </c>
      <c r="G106" s="7" t="inlineStr">
        <is>
          <t>Children 1-59 months</t>
        </is>
      </c>
      <c r="H106" s="7" t="n">
        <v>173867</v>
      </c>
      <c r="I106" s="7" t="inlineStr">
        <is>
          <t>Available - Tufts (Ratios)</t>
        </is>
      </c>
      <c r="J106" s="7" t="inlineStr">
        <is>
          <t>Available - OHT Senegal ($2023)</t>
        </is>
      </c>
      <c r="K106" s="7" t="inlineStr">
        <is>
          <t>Available</t>
        </is>
      </c>
      <c r="L106" s="7" t="inlineStr">
        <is>
          <t>Oui</t>
        </is>
      </c>
      <c r="M106" s="9" t="inlineStr"/>
      <c r="N106" s="9" t="inlineStr"/>
      <c r="O106" s="9" t="inlineStr"/>
    </row>
    <row r="107">
      <c r="A107" s="7" t="n">
        <v>13</v>
      </c>
      <c r="B107" s="7" t="inlineStr">
        <is>
          <t>Child health</t>
        </is>
      </c>
      <c r="C107" s="7" t="inlineStr">
        <is>
          <t>Malaria</t>
        </is>
      </c>
      <c r="D107" s="8" t="inlineStr">
        <is>
          <t>Treatment of severe malaria (children 0-4)</t>
        </is>
      </c>
      <c r="E107" s="8" t="inlineStr">
        <is>
          <t>Traitement du paludisme sévère (enfants 0-4 ans)</t>
        </is>
      </c>
      <c r="F107" s="7" t="inlineStr">
        <is>
          <t>Malaria</t>
        </is>
      </c>
      <c r="G107" s="7" t="inlineStr">
        <is>
          <t>Children 0-59 months</t>
        </is>
      </c>
      <c r="H107" s="7" t="n">
        <v>148724.112</v>
      </c>
      <c r="I107" s="7" t="inlineStr">
        <is>
          <t>Available - Tufts (Ratios)</t>
        </is>
      </c>
      <c r="J107" s="7" t="inlineStr">
        <is>
          <t>Available - OHT Senegal ($2023)</t>
        </is>
      </c>
      <c r="K107" s="7" t="inlineStr">
        <is>
          <t>Available</t>
        </is>
      </c>
      <c r="L107" s="7" t="inlineStr">
        <is>
          <t>Oui</t>
        </is>
      </c>
      <c r="M107" s="9" t="inlineStr"/>
      <c r="N107" s="9" t="inlineStr"/>
      <c r="O107" s="9" t="inlineStr"/>
    </row>
    <row r="108">
      <c r="A108" s="7" t="n">
        <v>33</v>
      </c>
      <c r="B108" s="7" t="inlineStr">
        <is>
          <t>HIV/AIDS</t>
        </is>
      </c>
      <c r="C108" s="7" t="inlineStr">
        <is>
          <t>Prevention - Other</t>
        </is>
      </c>
      <c r="D108" s="8" t="inlineStr">
        <is>
          <t>Male circumcision</t>
        </is>
      </c>
      <c r="E108" s="8" t="inlineStr">
        <is>
          <t>Circoncision masculine</t>
        </is>
      </c>
      <c r="F108" s="7" t="inlineStr">
        <is>
          <t>HIV/AIDS</t>
        </is>
      </c>
      <c r="G108" s="7" t="inlineStr">
        <is>
          <t>Men 15-49</t>
        </is>
      </c>
      <c r="H108" s="7" t="n">
        <v>463669.9</v>
      </c>
      <c r="I108" s="7" t="inlineStr">
        <is>
          <t>Available - Uganda fallback</t>
        </is>
      </c>
      <c r="J108" s="7" t="inlineStr">
        <is>
          <t>Available - OHT Senegal ($2023)</t>
        </is>
      </c>
      <c r="K108" s="7" t="inlineStr">
        <is>
          <t>Available</t>
        </is>
      </c>
      <c r="L108" s="7" t="inlineStr">
        <is>
          <t>Oui</t>
        </is>
      </c>
      <c r="M108" s="9" t="inlineStr"/>
      <c r="N108" s="9" t="inlineStr"/>
      <c r="O108" s="9" t="inlineStr"/>
    </row>
    <row r="109">
      <c r="A109" s="7" t="n">
        <v>89</v>
      </c>
      <c r="B109" s="7" t="inlineStr">
        <is>
          <t>Maternal/newborn and reproductive health</t>
        </is>
      </c>
      <c r="C109" s="7" t="inlineStr">
        <is>
          <t>Family planning</t>
        </is>
      </c>
      <c r="D109" s="8" t="inlineStr">
        <is>
          <t>Female sterilization</t>
        </is>
      </c>
      <c r="E109" s="8" t="inlineStr">
        <is>
          <t>Stérilisation féminine (ligature des trompes)</t>
        </is>
      </c>
      <c r="F109" s="7" t="inlineStr">
        <is>
          <t>Maternal disorders</t>
        </is>
      </c>
      <c r="G109" s="7" t="inlineStr">
        <is>
          <t>Women of reproductive age in union</t>
        </is>
      </c>
      <c r="H109" s="7" t="n">
        <v>341134</v>
      </c>
      <c r="I109" s="7" t="inlineStr">
        <is>
          <t>Missing</t>
        </is>
      </c>
      <c r="J109" s="7" t="inlineStr">
        <is>
          <t>Available - OHT Senegal ($2023)</t>
        </is>
      </c>
      <c r="K109" s="7" t="inlineStr">
        <is>
          <t>Available</t>
        </is>
      </c>
      <c r="L109" s="7" t="inlineStr">
        <is>
          <t>Non</t>
        </is>
      </c>
      <c r="M109" s="9" t="inlineStr"/>
      <c r="N109" s="9" t="inlineStr"/>
      <c r="O109" s="9" t="inlineStr"/>
    </row>
    <row r="110">
      <c r="A110" s="7" t="n">
        <v>286</v>
      </c>
      <c r="B110" s="7" t="inlineStr">
        <is>
          <t>Nutrition</t>
        </is>
      </c>
      <c r="C110" s="7" t="inlineStr">
        <is>
          <t>Pregnant and lactating women</t>
        </is>
      </c>
      <c r="D110" s="8" t="inlineStr">
        <is>
          <t>Daily iron and folic acid supplementation (pregnant women)</t>
        </is>
      </c>
      <c r="E110" s="8" t="inlineStr">
        <is>
          <t>Supplémentation quotidienne en fer et acide folique (femmes enceintes)</t>
        </is>
      </c>
      <c r="F110" s="7" t="inlineStr">
        <is>
          <t>Dietary iron deficiency</t>
        </is>
      </c>
      <c r="G110" s="7" t="inlineStr">
        <is>
          <t>Pregnant women</t>
        </is>
      </c>
      <c r="H110" s="7" t="n">
        <v>686388</v>
      </c>
      <c r="I110" s="7" t="inlineStr">
        <is>
          <t>Available - Tufts (Ratios)</t>
        </is>
      </c>
      <c r="J110" s="7" t="inlineStr">
        <is>
          <t>Available - OHT Senegal ($2023)</t>
        </is>
      </c>
      <c r="K110" s="7" t="inlineStr">
        <is>
          <t>Available</t>
        </is>
      </c>
      <c r="L110" s="7" t="inlineStr">
        <is>
          <t>Oui</t>
        </is>
      </c>
      <c r="M110" s="9" t="inlineStr"/>
      <c r="N110" s="9" t="inlineStr"/>
      <c r="O110" s="9" t="inlineStr"/>
    </row>
    <row r="111">
      <c r="A111" s="7" t="n">
        <v>118</v>
      </c>
      <c r="B111" s="7" t="inlineStr">
        <is>
          <t>Maternal/newborn and reproductive health</t>
        </is>
      </c>
      <c r="C111" s="7" t="inlineStr">
        <is>
          <t>Childbirth care - Other</t>
        </is>
      </c>
      <c r="D111" s="8" t="inlineStr">
        <is>
          <t>Induction of labor for pregnancies lasting 41+ weeks</t>
        </is>
      </c>
      <c r="E111" s="8" t="inlineStr">
        <is>
          <t>Déclenchement du travail pour grossesse prolongée (41+ semaines)</t>
        </is>
      </c>
      <c r="F111" s="7" t="inlineStr">
        <is>
          <t>Maternal disorders</t>
        </is>
      </c>
      <c r="G111" s="7" t="inlineStr">
        <is>
          <t>Pregnancies carried to term</t>
        </is>
      </c>
      <c r="H111" s="7" t="n">
        <v>23838</v>
      </c>
      <c r="I111" s="7" t="inlineStr">
        <is>
          <t>Available - Uganda fallback</t>
        </is>
      </c>
      <c r="J111" s="7" t="inlineStr">
        <is>
          <t>Available - OHT Senegal ($2023)</t>
        </is>
      </c>
      <c r="K111" s="7" t="inlineStr">
        <is>
          <t>Available</t>
        </is>
      </c>
      <c r="L111" s="7" t="inlineStr">
        <is>
          <t>Oui</t>
        </is>
      </c>
      <c r="M111" s="9" t="inlineStr"/>
      <c r="N111" s="9" t="inlineStr"/>
      <c r="O111" s="9" t="inlineStr"/>
    </row>
    <row r="112">
      <c r="A112" s="7" t="n">
        <v>2</v>
      </c>
      <c r="B112" s="7" t="inlineStr">
        <is>
          <t>Child health</t>
        </is>
      </c>
      <c r="C112" s="7" t="inlineStr">
        <is>
          <t>Diarrhea management</t>
        </is>
      </c>
      <c r="D112" s="8" t="inlineStr">
        <is>
          <t>ORS</t>
        </is>
      </c>
      <c r="E112" s="8" t="inlineStr">
        <is>
          <t>SRO (sels de réhydratation orale)</t>
        </is>
      </c>
      <c r="F112" s="7" t="inlineStr">
        <is>
          <t>Diarrheal diseases</t>
        </is>
      </c>
      <c r="G112" s="7" t="inlineStr">
        <is>
          <t>Children 0-59 months</t>
        </is>
      </c>
      <c r="H112" s="7" t="n">
        <v>7138500</v>
      </c>
      <c r="I112" s="7" t="inlineStr">
        <is>
          <t>Available - Uganda fallback</t>
        </is>
      </c>
      <c r="J112" s="7" t="inlineStr">
        <is>
          <t>Available - OHT Senegal ($2023)</t>
        </is>
      </c>
      <c r="K112" s="7" t="inlineStr">
        <is>
          <t>Available</t>
        </is>
      </c>
      <c r="L112" s="7" t="inlineStr">
        <is>
          <t>Oui</t>
        </is>
      </c>
      <c r="M112" s="9" t="inlineStr"/>
      <c r="N112" s="9" t="inlineStr"/>
      <c r="O112" s="9" t="inlineStr"/>
    </row>
    <row r="113">
      <c r="A113" s="7" t="n">
        <v>4</v>
      </c>
      <c r="B113" s="7" t="inlineStr">
        <is>
          <t>Child health</t>
        </is>
      </c>
      <c r="C113" s="7" t="inlineStr">
        <is>
          <t>Diarrhea management</t>
        </is>
      </c>
      <c r="D113" s="8" t="inlineStr">
        <is>
          <t>Zinc (diarrhea treatment)</t>
        </is>
      </c>
      <c r="E113" s="8" t="inlineStr">
        <is>
          <t>Zinc (traitement de la diarrhée)</t>
        </is>
      </c>
      <c r="F113" s="7" t="inlineStr">
        <is>
          <t>Diarrheal diseases</t>
        </is>
      </c>
      <c r="G113" s="7" t="inlineStr">
        <is>
          <t>Children 0-59 months</t>
        </is>
      </c>
      <c r="H113" s="7" t="n">
        <v>8111932</v>
      </c>
      <c r="I113" s="7" t="inlineStr">
        <is>
          <t>Available - Uganda fallback</t>
        </is>
      </c>
      <c r="J113" s="7" t="inlineStr">
        <is>
          <t>Available - OHT Senegal ($2023)</t>
        </is>
      </c>
      <c r="K113" s="7" t="inlineStr">
        <is>
          <t>Available</t>
        </is>
      </c>
      <c r="L113" s="7" t="inlineStr">
        <is>
          <t>Oui</t>
        </is>
      </c>
      <c r="M113" s="9" t="inlineStr"/>
      <c r="N113" s="9" t="inlineStr"/>
      <c r="O113" s="9" t="inlineStr"/>
    </row>
    <row r="114">
      <c r="A114" s="7" t="n">
        <v>285</v>
      </c>
      <c r="B114" s="7" t="inlineStr">
        <is>
          <t>Nutrition</t>
        </is>
      </c>
      <c r="C114" s="7" t="inlineStr">
        <is>
          <t>Pregnant and lactating women</t>
        </is>
      </c>
      <c r="D114" s="8" t="inlineStr">
        <is>
          <t>Calcium supplementation for prevention and treatment of pre-eclampsia and eclampsia</t>
        </is>
      </c>
      <c r="E114" s="8" t="inlineStr">
        <is>
          <t>Supplémentation calcique pour la prévention et le traitement de la pré-éclampsie/éclampsie</t>
        </is>
      </c>
      <c r="F114" s="7" t="inlineStr">
        <is>
          <t>Maternal disorders</t>
        </is>
      </c>
      <c r="G114" s="7" t="inlineStr">
        <is>
          <t>Pregnant women</t>
        </is>
      </c>
      <c r="H114" s="7" t="n">
        <v>686388</v>
      </c>
      <c r="I114" s="7" t="inlineStr">
        <is>
          <t>Available - Tufts (Ratios)</t>
        </is>
      </c>
      <c r="J114" s="7" t="inlineStr">
        <is>
          <t>Available - OHT Senegal ($2023)</t>
        </is>
      </c>
      <c r="K114" s="7" t="inlineStr">
        <is>
          <t>Available</t>
        </is>
      </c>
      <c r="L114" s="7" t="inlineStr">
        <is>
          <t>Oui</t>
        </is>
      </c>
      <c r="M114" s="9" t="inlineStr"/>
      <c r="N114" s="9" t="inlineStr"/>
      <c r="O114" s="9" t="inlineStr"/>
    </row>
    <row r="115">
      <c r="A115" s="7" t="n">
        <v>84</v>
      </c>
      <c r="B115" s="7" t="inlineStr">
        <is>
          <t>Maternal/newborn and reproductive health</t>
        </is>
      </c>
      <c r="C115" s="7" t="inlineStr">
        <is>
          <t>Family planning</t>
        </is>
      </c>
      <c r="D115" s="8" t="inlineStr">
        <is>
          <t>IUD - Copper-T 380-A IUD (10 years)</t>
        </is>
      </c>
      <c r="E115" s="8" t="inlineStr">
        <is>
          <t>DIU au cuivre T380-A (10 ans)</t>
        </is>
      </c>
      <c r="F115" s="7" t="inlineStr">
        <is>
          <t>Maternal disorders</t>
        </is>
      </c>
      <c r="G115" s="7" t="inlineStr">
        <is>
          <t>Women of reproductive age in union</t>
        </is>
      </c>
      <c r="H115" s="7" t="n">
        <v>704685</v>
      </c>
      <c r="I115" s="7" t="inlineStr">
        <is>
          <t>Missing</t>
        </is>
      </c>
      <c r="J115" s="7" t="inlineStr">
        <is>
          <t>Available - OHT Senegal ($2023)</t>
        </is>
      </c>
      <c r="K115" s="7" t="inlineStr">
        <is>
          <t>Available</t>
        </is>
      </c>
      <c r="L115" s="7" t="inlineStr">
        <is>
          <t>Non</t>
        </is>
      </c>
      <c r="M115" s="9" t="inlineStr"/>
      <c r="N115" s="9" t="inlineStr"/>
      <c r="O115" s="9" t="inlineStr"/>
    </row>
    <row r="116">
      <c r="A116" s="7" t="n">
        <v>3</v>
      </c>
      <c r="B116" s="7" t="inlineStr">
        <is>
          <t>Child health</t>
        </is>
      </c>
      <c r="C116" s="7" t="inlineStr">
        <is>
          <t>Diarrhea management</t>
        </is>
      </c>
      <c r="D116" s="8" t="inlineStr">
        <is>
          <t>Antibiotics for treatment of dysentery</t>
        </is>
      </c>
      <c r="E116" s="8" t="inlineStr">
        <is>
          <t>Antibiotiques pour le traitement de la dysenterie</t>
        </is>
      </c>
      <c r="F116" s="7" t="inlineStr">
        <is>
          <t>Diarrheal diseases</t>
        </is>
      </c>
      <c r="G116" s="7" t="inlineStr">
        <is>
          <t>Children 0-59 months</t>
        </is>
      </c>
      <c r="H116" s="7" t="n">
        <v>973432</v>
      </c>
      <c r="I116" s="7" t="inlineStr">
        <is>
          <t>Available - Uganda fallback</t>
        </is>
      </c>
      <c r="J116" s="7" t="inlineStr">
        <is>
          <t>Available - OHT Senegal ($2023)</t>
        </is>
      </c>
      <c r="K116" s="7" t="inlineStr">
        <is>
          <t>Available</t>
        </is>
      </c>
      <c r="L116" s="7" t="inlineStr">
        <is>
          <t>Oui</t>
        </is>
      </c>
      <c r="M116" s="9" t="inlineStr"/>
      <c r="N116" s="9" t="inlineStr"/>
      <c r="O116" s="9" t="inlineStr"/>
    </row>
    <row r="117">
      <c r="A117" s="7" t="n">
        <v>86</v>
      </c>
      <c r="B117" s="7" t="inlineStr">
        <is>
          <t>Maternal/newborn and reproductive health</t>
        </is>
      </c>
      <c r="C117" s="7" t="inlineStr">
        <is>
          <t>Family planning</t>
        </is>
      </c>
      <c r="D117" s="8" t="inlineStr">
        <is>
          <t>Implant - Jadelle (5 years)</t>
        </is>
      </c>
      <c r="E117" s="8" t="inlineStr">
        <is>
          <t>Implant Jadelle (5 ans)</t>
        </is>
      </c>
      <c r="F117" s="7" t="inlineStr">
        <is>
          <t>Maternal disorders</t>
        </is>
      </c>
      <c r="G117" s="7" t="inlineStr">
        <is>
          <t>Women of reproductive age in union</t>
        </is>
      </c>
      <c r="H117" s="7" t="n">
        <v>835662</v>
      </c>
      <c r="I117" s="7" t="inlineStr">
        <is>
          <t>Missing</t>
        </is>
      </c>
      <c r="J117" s="7" t="inlineStr">
        <is>
          <t>Available - OHT Senegal ($2023)</t>
        </is>
      </c>
      <c r="K117" s="7" t="inlineStr">
        <is>
          <t>Available</t>
        </is>
      </c>
      <c r="L117" s="7" t="inlineStr">
        <is>
          <t>Non</t>
        </is>
      </c>
      <c r="M117" s="9" t="inlineStr"/>
      <c r="N117" s="9" t="inlineStr"/>
      <c r="O117" s="9" t="inlineStr"/>
    </row>
    <row r="118">
      <c r="A118" s="7" t="n">
        <v>8</v>
      </c>
      <c r="B118" s="7" t="inlineStr">
        <is>
          <t>Child health</t>
        </is>
      </c>
      <c r="C118" s="7" t="inlineStr">
        <is>
          <t>Malaria</t>
        </is>
      </c>
      <c r="D118" s="8" t="inlineStr">
        <is>
          <t>Malaria treatment (children 0-4)</t>
        </is>
      </c>
      <c r="E118" s="8" t="inlineStr">
        <is>
          <t>Traitement du paludisme (enfants 0-4 ans)</t>
        </is>
      </c>
      <c r="F118" s="7" t="inlineStr">
        <is>
          <t>Malaria</t>
        </is>
      </c>
      <c r="G118" s="7" t="inlineStr">
        <is>
          <t>Children 0-59 months</t>
        </is>
      </c>
      <c r="H118" s="7" t="n">
        <v>9832645</v>
      </c>
      <c r="I118" s="7" t="inlineStr">
        <is>
          <t>Available - Tufts (Ratios)</t>
        </is>
      </c>
      <c r="J118" s="7" t="inlineStr">
        <is>
          <t>Available - OHT Senegal ($2023)</t>
        </is>
      </c>
      <c r="K118" s="7" t="inlineStr">
        <is>
          <t>Available</t>
        </is>
      </c>
      <c r="L118" s="7" t="inlineStr">
        <is>
          <t>Oui</t>
        </is>
      </c>
      <c r="M118" s="9" t="inlineStr"/>
      <c r="N118" s="9" t="inlineStr"/>
      <c r="O118" s="9" t="inlineStr"/>
    </row>
    <row r="119">
      <c r="A119" s="7" t="n">
        <v>103</v>
      </c>
      <c r="B119" s="7" t="inlineStr">
        <is>
          <t>Maternal/newborn and reproductive health</t>
        </is>
      </c>
      <c r="C119" s="7" t="inlineStr">
        <is>
          <t>Postpartum care - Other</t>
        </is>
      </c>
      <c r="D119" s="8" t="inlineStr">
        <is>
          <t>Chlorhexidine</t>
        </is>
      </c>
      <c r="E119" s="8" t="inlineStr">
        <is>
          <t>Chlorhexidine (soin du cordon ombilical)</t>
        </is>
      </c>
      <c r="F119" s="7" t="inlineStr">
        <is>
          <t>Neonatal disorders</t>
        </is>
      </c>
      <c r="G119" s="7" t="inlineStr">
        <is>
          <t>Live births</t>
        </is>
      </c>
      <c r="H119" s="7" t="n">
        <v>531616</v>
      </c>
      <c r="I119" s="7" t="inlineStr">
        <is>
          <t>Available - Uganda fallback</t>
        </is>
      </c>
      <c r="J119" s="7" t="inlineStr">
        <is>
          <t>Available - OHT Senegal ($2023)</t>
        </is>
      </c>
      <c r="K119" s="7" t="inlineStr">
        <is>
          <t>Available</t>
        </is>
      </c>
      <c r="L119" s="7" t="inlineStr">
        <is>
          <t>Oui</t>
        </is>
      </c>
      <c r="M119" s="9" t="inlineStr"/>
      <c r="N119" s="9" t="inlineStr"/>
      <c r="O119" s="9" t="inlineStr"/>
    </row>
    <row r="120">
      <c r="A120" s="7" t="n">
        <v>74</v>
      </c>
      <c r="B120" s="7" t="inlineStr">
        <is>
          <t>Maternal/newborn and reproductive health</t>
        </is>
      </c>
      <c r="C120" s="7" t="inlineStr">
        <is>
          <t>Family planning</t>
        </is>
      </c>
      <c r="D120" s="8" t="inlineStr">
        <is>
          <t>Pill - Standard daily regimen</t>
        </is>
      </c>
      <c r="E120" s="8" t="inlineStr">
        <is>
          <t>Pilule - schéma quotidien standard</t>
        </is>
      </c>
      <c r="F120" s="7" t="inlineStr">
        <is>
          <t>Maternal disorders</t>
        </is>
      </c>
      <c r="G120" s="7" t="inlineStr">
        <is>
          <t>Women of reproductive age in union</t>
        </is>
      </c>
      <c r="H120" s="7" t="n">
        <v>2943975</v>
      </c>
      <c r="I120" s="7" t="inlineStr">
        <is>
          <t>Missing</t>
        </is>
      </c>
      <c r="J120" s="7" t="inlineStr">
        <is>
          <t>Available - OHT Senegal ($2023)</t>
        </is>
      </c>
      <c r="K120" s="7" t="inlineStr">
        <is>
          <t>Available</t>
        </is>
      </c>
      <c r="L120" s="7" t="inlineStr">
        <is>
          <t>Non</t>
        </is>
      </c>
      <c r="M120" s="9" t="inlineStr"/>
      <c r="N120" s="9" t="inlineStr"/>
      <c r="O120" s="9" t="inlineStr"/>
    </row>
    <row r="121">
      <c r="A121" s="7" t="n">
        <v>79</v>
      </c>
      <c r="B121" s="7" t="inlineStr">
        <is>
          <t>Maternal/newborn and reproductive health</t>
        </is>
      </c>
      <c r="C121" s="7" t="inlineStr">
        <is>
          <t>Family planning</t>
        </is>
      </c>
      <c r="D121" s="8" t="inlineStr">
        <is>
          <t>Injectable - 3 month (Depo Provera)</t>
        </is>
      </c>
      <c r="E121" s="8" t="inlineStr">
        <is>
          <t>Injectable - 3 mois (Depo Provera)</t>
        </is>
      </c>
      <c r="F121" s="7" t="inlineStr">
        <is>
          <t>Maternal disorders</t>
        </is>
      </c>
      <c r="G121" s="7" t="inlineStr">
        <is>
          <t>Women of reproductive age in union</t>
        </is>
      </c>
      <c r="H121" s="7" t="n">
        <v>2943975</v>
      </c>
      <c r="I121" s="7" t="inlineStr">
        <is>
          <t>Missing</t>
        </is>
      </c>
      <c r="J121" s="7" t="inlineStr">
        <is>
          <t>Available - OHT Senegal ($2023)</t>
        </is>
      </c>
      <c r="K121" s="7" t="inlineStr">
        <is>
          <t>Available</t>
        </is>
      </c>
      <c r="L121" s="7" t="inlineStr">
        <is>
          <t>Non</t>
        </is>
      </c>
      <c r="M121" s="9" t="inlineStr"/>
      <c r="N121" s="9" t="inlineStr"/>
      <c r="O121" s="9" t="inlineStr"/>
    </row>
    <row r="122">
      <c r="A122" s="7" t="n">
        <v>90</v>
      </c>
      <c r="B122" s="7" t="inlineStr">
        <is>
          <t>Maternal/newborn and reproductive health</t>
        </is>
      </c>
      <c r="C122" s="7" t="inlineStr">
        <is>
          <t>Family planning</t>
        </is>
      </c>
      <c r="D122" s="8" t="inlineStr">
        <is>
          <t>Male sterilization</t>
        </is>
      </c>
      <c r="E122" s="8" t="inlineStr">
        <is>
          <t>Stérilisation masculine (vasectomie)</t>
        </is>
      </c>
      <c r="F122" s="7" t="inlineStr">
        <is>
          <t>Maternal disorders</t>
        </is>
      </c>
      <c r="G122" s="7" t="inlineStr">
        <is>
          <t>Women of reproductive age in union</t>
        </is>
      </c>
      <c r="H122" s="7" t="n">
        <v>2943975</v>
      </c>
      <c r="I122" s="7" t="inlineStr">
        <is>
          <t>Missing</t>
        </is>
      </c>
      <c r="J122" s="7" t="inlineStr">
        <is>
          <t>Available - OHT Senegal ($2023)</t>
        </is>
      </c>
      <c r="K122" s="7" t="inlineStr">
        <is>
          <t>Available</t>
        </is>
      </c>
      <c r="L122" s="7" t="inlineStr">
        <is>
          <t>Non</t>
        </is>
      </c>
      <c r="M122" s="9" t="inlineStr"/>
      <c r="N122" s="9" t="inlineStr"/>
      <c r="O122" s="9" t="inlineStr"/>
    </row>
    <row r="123">
      <c r="A123" s="7" t="n">
        <v>53</v>
      </c>
      <c r="B123" s="7" t="inlineStr">
        <is>
          <t>Immunization</t>
        </is>
      </c>
      <c r="C123" s="7" t="inlineStr">
        <is>
          <t>Immunization</t>
        </is>
      </c>
      <c r="D123" s="8" t="inlineStr">
        <is>
          <t>Pneumococcal vaccine</t>
        </is>
      </c>
      <c r="E123" s="8" t="inlineStr">
        <is>
          <t>Vaccin pneumococcique</t>
        </is>
      </c>
      <c r="F123" s="7" t="inlineStr">
        <is>
          <t>Lower respiratory infections</t>
        </is>
      </c>
      <c r="G123" s="7" t="inlineStr">
        <is>
          <t>Infants surviving past one month</t>
        </is>
      </c>
      <c r="H123" s="7" t="n">
        <v>520747</v>
      </c>
      <c r="I123" s="7" t="inlineStr">
        <is>
          <t>Available - Uganda fallback</t>
        </is>
      </c>
      <c r="J123" s="7" t="inlineStr">
        <is>
          <t>Available - OHT Senegal ($2023)</t>
        </is>
      </c>
      <c r="K123" s="7" t="inlineStr">
        <is>
          <t>Available</t>
        </is>
      </c>
      <c r="L123" s="7" t="inlineStr">
        <is>
          <t>Oui</t>
        </is>
      </c>
      <c r="M123" s="9" t="inlineStr"/>
      <c r="N123" s="9" t="inlineStr"/>
      <c r="O123" s="9" t="inlineStr"/>
    </row>
    <row r="124">
      <c r="A124" s="7" t="n">
        <v>111</v>
      </c>
      <c r="B124" s="7" t="inlineStr">
        <is>
          <t>Maternal/newborn and reproductive health</t>
        </is>
      </c>
      <c r="C124" s="7" t="inlineStr">
        <is>
          <t>Childbirth care - Facility births</t>
        </is>
      </c>
      <c r="D124" s="8" t="inlineStr">
        <is>
          <t>Uterotonics for postpartum hemorrhage</t>
        </is>
      </c>
      <c r="E124" s="8" t="inlineStr">
        <is>
          <t>Utérotoniques pour l'hémorragie du post-partum</t>
        </is>
      </c>
      <c r="F124" s="7" t="inlineStr">
        <is>
          <t>Maternal disorders</t>
        </is>
      </c>
      <c r="G124" s="7" t="inlineStr">
        <is>
          <t>Pregnancies carried to term</t>
        </is>
      </c>
      <c r="H124" s="7" t="n">
        <v>541773</v>
      </c>
      <c r="I124" s="7" t="inlineStr">
        <is>
          <t>Available - Uganda fallback</t>
        </is>
      </c>
      <c r="J124" s="7" t="inlineStr">
        <is>
          <t>Available - OHT Senegal ($2023)</t>
        </is>
      </c>
      <c r="K124" s="7" t="inlineStr">
        <is>
          <t>Available</t>
        </is>
      </c>
      <c r="L124" s="7" t="inlineStr">
        <is>
          <t>Oui</t>
        </is>
      </c>
      <c r="M124" s="9" t="inlineStr"/>
      <c r="N124" s="9" t="inlineStr"/>
      <c r="O124" s="9" t="inlineStr"/>
    </row>
    <row r="125">
      <c r="A125" s="7" t="n">
        <v>205</v>
      </c>
      <c r="B125" s="7" t="inlineStr">
        <is>
          <t>Non-communicable diseases</t>
        </is>
      </c>
      <c r="C125" s="7" t="inlineStr">
        <is>
          <t>CVD &amp; diabetes</t>
        </is>
      </c>
      <c r="D125" s="8" t="inlineStr">
        <is>
          <t>Treatment for those with high blood pressure but low absolute risk of CVD/diabetes</t>
        </is>
      </c>
      <c r="E125" s="8" t="inlineStr">
        <is>
          <t>Traitement de l'hypertension à risque absolu faible</t>
        </is>
      </c>
      <c r="F125" s="7" t="inlineStr">
        <is>
          <t>Stroke</t>
        </is>
      </c>
      <c r="G125" s="7" t="inlineStr">
        <is>
          <t>People with SBP &gt; 160 mmHG and total CVD risk &lt; 20%</t>
        </is>
      </c>
      <c r="H125" s="7" t="n"/>
      <c r="I125" s="7" t="inlineStr">
        <is>
          <t>Missing</t>
        </is>
      </c>
      <c r="J125" s="7" t="inlineStr">
        <is>
          <t>Available - OHT Senegal ($2023)</t>
        </is>
      </c>
      <c r="K125" s="7" t="inlineStr">
        <is>
          <t>Missing</t>
        </is>
      </c>
      <c r="L125" s="7" t="inlineStr">
        <is>
          <t>Non</t>
        </is>
      </c>
      <c r="M125" s="9" t="inlineStr"/>
      <c r="N125" s="9" t="inlineStr"/>
      <c r="O125" s="9" t="inlineStr"/>
    </row>
    <row r="126">
      <c r="A126" s="7" t="n">
        <v>58</v>
      </c>
      <c r="B126" s="7" t="inlineStr">
        <is>
          <t>Malaria</t>
        </is>
      </c>
      <c r="C126" s="7" t="inlineStr">
        <is>
          <t>Case management</t>
        </is>
      </c>
      <c r="D126" s="8" t="inlineStr">
        <is>
          <t>Treatment of malaria (pregnant women)</t>
        </is>
      </c>
      <c r="E126" s="8" t="inlineStr">
        <is>
          <t>Traitement du paludisme (femmes enceintes)</t>
        </is>
      </c>
      <c r="F126" s="7" t="inlineStr">
        <is>
          <t>Malaria</t>
        </is>
      </c>
      <c r="G126" s="7" t="inlineStr">
        <is>
          <t>Pregnant women</t>
        </is>
      </c>
      <c r="H126" s="7" t="n">
        <v>166449</v>
      </c>
      <c r="I126" s="7" t="inlineStr">
        <is>
          <t>Missing</t>
        </is>
      </c>
      <c r="J126" s="7" t="inlineStr">
        <is>
          <t>Available - OHT Senegal ($2023)</t>
        </is>
      </c>
      <c r="K126" s="7" t="inlineStr">
        <is>
          <t>Available</t>
        </is>
      </c>
      <c r="L126" s="7" t="inlineStr">
        <is>
          <t>Non</t>
        </is>
      </c>
      <c r="M126" s="9" t="inlineStr"/>
      <c r="N126" s="9" t="inlineStr"/>
      <c r="O126" s="9" t="inlineStr"/>
    </row>
    <row r="127">
      <c r="A127" s="7" t="n">
        <v>59</v>
      </c>
      <c r="B127" s="7" t="inlineStr">
        <is>
          <t>Malaria</t>
        </is>
      </c>
      <c r="C127" s="7" t="inlineStr">
        <is>
          <t>Prevention</t>
        </is>
      </c>
      <c r="D127" s="8" t="inlineStr">
        <is>
          <t>Insecticide treated materials</t>
        </is>
      </c>
      <c r="E127" s="8" t="inlineStr">
        <is>
          <t>Matériaux imprégnés d'insecticide (moustiquaires)</t>
        </is>
      </c>
      <c r="F127" s="7" t="inlineStr">
        <is>
          <t>Malaria</t>
        </is>
      </c>
      <c r="G127" s="7" t="inlineStr">
        <is>
          <t>Total population</t>
        </is>
      </c>
      <c r="H127" s="7" t="n">
        <v>17697362</v>
      </c>
      <c r="I127" s="7" t="inlineStr">
        <is>
          <t>Missing</t>
        </is>
      </c>
      <c r="J127" s="7" t="inlineStr">
        <is>
          <t>Available - OHT Senegal ($2023)</t>
        </is>
      </c>
      <c r="K127" s="7" t="inlineStr">
        <is>
          <t>Available</t>
        </is>
      </c>
      <c r="L127" s="7" t="inlineStr">
        <is>
          <t>Non</t>
        </is>
      </c>
      <c r="M127" s="9" t="inlineStr"/>
      <c r="N127" s="9" t="inlineStr"/>
      <c r="O127" s="9" t="inlineStr"/>
    </row>
    <row r="128">
      <c r="A128" s="7" t="n">
        <v>68</v>
      </c>
      <c r="B128" s="7" t="inlineStr">
        <is>
          <t>Malaria</t>
        </is>
      </c>
      <c r="C128" s="7" t="inlineStr">
        <is>
          <t>Case management</t>
        </is>
      </c>
      <c r="D128" s="8" t="inlineStr">
        <is>
          <t>Malaria treatment (adults, excluding pregnant women)</t>
        </is>
      </c>
      <c r="E128" s="8" t="inlineStr">
        <is>
          <t>Traitement du paludisme (adultes, hors femmes enceintes)</t>
        </is>
      </c>
      <c r="F128" s="7" t="inlineStr">
        <is>
          <t>Malaria</t>
        </is>
      </c>
      <c r="G128" s="7" t="inlineStr">
        <is>
          <t>Adults 15+</t>
        </is>
      </c>
      <c r="H128" s="7" t="n">
        <v>11221653</v>
      </c>
      <c r="I128" s="7" t="inlineStr">
        <is>
          <t>Missing</t>
        </is>
      </c>
      <c r="J128" s="7" t="inlineStr">
        <is>
          <t>Available - OHT Senegal ($2023)</t>
        </is>
      </c>
      <c r="K128" s="7" t="inlineStr">
        <is>
          <t>Available</t>
        </is>
      </c>
      <c r="L128" s="7" t="inlineStr">
        <is>
          <t>Non</t>
        </is>
      </c>
      <c r="M128" s="9" t="inlineStr"/>
      <c r="N128" s="9" t="inlineStr"/>
      <c r="O128" s="9" t="inlineStr"/>
    </row>
    <row r="129">
      <c r="A129" s="7" t="n">
        <v>316</v>
      </c>
      <c r="B129" s="7" t="inlineStr">
        <is>
          <t>TB</t>
        </is>
      </c>
      <c r="C129" s="7" t="inlineStr">
        <is>
          <t>TB diagnosis with microscopy</t>
        </is>
      </c>
      <c r="D129" s="8" t="inlineStr">
        <is>
          <t>Diagnosis with microscopy: Active TB case finding, children</t>
        </is>
      </c>
      <c r="E129" s="8" t="inlineStr">
        <is>
          <t>Diagnostic par microscopie : dépistage actif, enfants</t>
        </is>
      </c>
      <c r="F129" s="7" t="inlineStr">
        <is>
          <t>Tuberculosis</t>
        </is>
      </c>
      <c r="G129" s="7" t="inlineStr">
        <is>
          <t>Number ACF screened for active TB, children</t>
        </is>
      </c>
      <c r="H129" s="7" t="n"/>
      <c r="I129" s="7" t="inlineStr">
        <is>
          <t>Missing</t>
        </is>
      </c>
      <c r="J129" s="7" t="inlineStr">
        <is>
          <t>Available - OHT Senegal ($2023)</t>
        </is>
      </c>
      <c r="K129" s="7" t="inlineStr">
        <is>
          <t>Missing</t>
        </is>
      </c>
      <c r="L129" s="7" t="inlineStr">
        <is>
          <t>Non</t>
        </is>
      </c>
      <c r="M129" s="9" t="inlineStr"/>
      <c r="N129" s="9" t="inlineStr"/>
      <c r="O129" s="9" t="inlineStr"/>
    </row>
    <row r="130">
      <c r="A130" s="7" t="n">
        <v>317</v>
      </c>
      <c r="B130" s="7" t="inlineStr">
        <is>
          <t>TB</t>
        </is>
      </c>
      <c r="C130" s="7" t="inlineStr">
        <is>
          <t>TB diagnosis with microscopy</t>
        </is>
      </c>
      <c r="D130" s="8" t="inlineStr">
        <is>
          <t>Diagnosis with microscopy: Active TB case finding, adults</t>
        </is>
      </c>
      <c r="E130" s="8" t="inlineStr">
        <is>
          <t>Diagnostic par microscopie : dépistage actif, adultes</t>
        </is>
      </c>
      <c r="F130" s="7" t="inlineStr">
        <is>
          <t>Tuberculosis</t>
        </is>
      </c>
      <c r="G130" s="7" t="inlineStr">
        <is>
          <t>Number ACF screened for active TB, adults</t>
        </is>
      </c>
      <c r="H130" s="7" t="n"/>
      <c r="I130" s="7" t="inlineStr">
        <is>
          <t>Missing</t>
        </is>
      </c>
      <c r="J130" s="7" t="inlineStr">
        <is>
          <t>Available - OHT Senegal ($2023)</t>
        </is>
      </c>
      <c r="K130" s="7" t="inlineStr">
        <is>
          <t>Missing</t>
        </is>
      </c>
      <c r="L130" s="7" t="inlineStr">
        <is>
          <t>Non</t>
        </is>
      </c>
      <c r="M130" s="9" t="inlineStr"/>
      <c r="N130" s="9" t="inlineStr"/>
      <c r="O130" s="9" t="inlineStr"/>
    </row>
    <row r="131">
      <c r="A131" s="7" t="n">
        <v>351</v>
      </c>
      <c r="B131" s="7" t="inlineStr">
        <is>
          <t>TB</t>
        </is>
      </c>
      <c r="C131" s="7" t="inlineStr">
        <is>
          <t>First-line TB treatment</t>
        </is>
      </c>
      <c r="D131" s="8" t="inlineStr">
        <is>
          <t>First-line TB treatment: Initial treatment for adults</t>
        </is>
      </c>
      <c r="E131" s="8" t="inlineStr">
        <is>
          <t>Traitement antituberculeux de 1re ligne : traitement initial, adultes</t>
        </is>
      </c>
      <c r="F131" s="7" t="inlineStr">
        <is>
          <t>Tuberculosis</t>
        </is>
      </c>
      <c r="G131" s="7" t="inlineStr">
        <is>
          <t>Number of new non-MDR cases, excluding relapse (adults)</t>
        </is>
      </c>
      <c r="H131" s="7" t="n">
        <v>12090</v>
      </c>
      <c r="I131" s="7" t="inlineStr">
        <is>
          <t>Missing</t>
        </is>
      </c>
      <c r="J131" s="7" t="inlineStr">
        <is>
          <t>Available - OHT Senegal ($2023)</t>
        </is>
      </c>
      <c r="K131" s="7" t="inlineStr">
        <is>
          <t>Available</t>
        </is>
      </c>
      <c r="L131" s="7" t="inlineStr">
        <is>
          <t>Non</t>
        </is>
      </c>
      <c r="M131" s="9" t="inlineStr"/>
      <c r="N131" s="9" t="inlineStr"/>
      <c r="O131" s="9" t="inlineStr"/>
    </row>
    <row r="132">
      <c r="A132" s="7" t="n">
        <v>352</v>
      </c>
      <c r="B132" s="7" t="inlineStr">
        <is>
          <t>TB</t>
        </is>
      </c>
      <c r="C132" s="7" t="inlineStr">
        <is>
          <t>First-line TB treatment</t>
        </is>
      </c>
      <c r="D132" s="8" t="inlineStr">
        <is>
          <t>First-line TB treatment: Initial treatment for children</t>
        </is>
      </c>
      <c r="E132" s="8" t="inlineStr">
        <is>
          <t>Traitement antituberculeux de 1re ligne : traitement initial, enfants</t>
        </is>
      </c>
      <c r="F132" s="7" t="inlineStr">
        <is>
          <t>Tuberculosis</t>
        </is>
      </c>
      <c r="G132" s="7" t="inlineStr">
        <is>
          <t>Number of new non-MDR cases, excluding relapse (children)</t>
        </is>
      </c>
      <c r="H132" s="7" t="n">
        <v>544</v>
      </c>
      <c r="I132" s="7" t="inlineStr">
        <is>
          <t>Missing</t>
        </is>
      </c>
      <c r="J132" s="7" t="inlineStr">
        <is>
          <t>Available - OHT Senegal ($2023)</t>
        </is>
      </c>
      <c r="K132" s="7" t="inlineStr">
        <is>
          <t>Available</t>
        </is>
      </c>
      <c r="L132" s="7" t="inlineStr">
        <is>
          <t>Non</t>
        </is>
      </c>
      <c r="M132" s="9" t="inlineStr"/>
      <c r="N132" s="9" t="inlineStr"/>
      <c r="O132" s="9" t="inlineStr"/>
    </row>
    <row r="133">
      <c r="A133" s="7" t="n">
        <v>353</v>
      </c>
      <c r="B133" s="7" t="inlineStr">
        <is>
          <t>TB</t>
        </is>
      </c>
      <c r="C133" s="7" t="inlineStr">
        <is>
          <t>First-line TB treatment</t>
        </is>
      </c>
      <c r="D133" s="8" t="inlineStr">
        <is>
          <t>First-line TB treatment: Previously treated for adults</t>
        </is>
      </c>
      <c r="E133" s="8" t="inlineStr">
        <is>
          <t>Traitement antituberculeux de 1re ligne : cas déjà traités, adultes</t>
        </is>
      </c>
      <c r="F133" s="7" t="inlineStr">
        <is>
          <t>Tuberculosis</t>
        </is>
      </c>
      <c r="G133" s="7" t="inlineStr">
        <is>
          <t>Number of previously treated non-MDR cases, including relapse (adults)</t>
        </is>
      </c>
      <c r="H133" s="7" t="n">
        <v>920</v>
      </c>
      <c r="I133" s="7" t="inlineStr">
        <is>
          <t>Missing</t>
        </is>
      </c>
      <c r="J133" s="7" t="inlineStr">
        <is>
          <t>Available - OHT Senegal ($2023)</t>
        </is>
      </c>
      <c r="K133" s="7" t="inlineStr">
        <is>
          <t>Available</t>
        </is>
      </c>
      <c r="L133" s="7" t="inlineStr">
        <is>
          <t>Non</t>
        </is>
      </c>
      <c r="M133" s="9" t="inlineStr"/>
      <c r="N133" s="9" t="inlineStr"/>
      <c r="O133" s="9" t="inlineStr"/>
    </row>
    <row r="134">
      <c r="A134" s="7" t="n">
        <v>354</v>
      </c>
      <c r="B134" s="7" t="inlineStr">
        <is>
          <t>TB</t>
        </is>
      </c>
      <c r="C134" s="7" t="inlineStr">
        <is>
          <t>First-line TB treatment</t>
        </is>
      </c>
      <c r="D134" s="8" t="inlineStr">
        <is>
          <t>First-line TB treatment: Previously treated for children</t>
        </is>
      </c>
      <c r="E134" s="8" t="inlineStr">
        <is>
          <t>Traitement antituberculeux de 1re ligne : cas déjà traités, enfants</t>
        </is>
      </c>
      <c r="F134" s="7" t="inlineStr">
        <is>
          <t>Tuberculosis</t>
        </is>
      </c>
      <c r="G134" s="7" t="inlineStr">
        <is>
          <t>Number of previously treated non-MDR cases, including relapse (children)</t>
        </is>
      </c>
      <c r="H134" s="7" t="n">
        <v>41</v>
      </c>
      <c r="I134" s="7" t="inlineStr">
        <is>
          <t>Missing</t>
        </is>
      </c>
      <c r="J134" s="7" t="inlineStr">
        <is>
          <t>Available - OHT Senegal ($2023)</t>
        </is>
      </c>
      <c r="K134" s="7" t="inlineStr">
        <is>
          <t>Available</t>
        </is>
      </c>
      <c r="L134" s="7" t="inlineStr">
        <is>
          <t>Non</t>
        </is>
      </c>
      <c r="M134" s="9" t="inlineStr"/>
      <c r="N134" s="9" t="inlineStr"/>
      <c r="O134" s="9" t="inlineStr"/>
    </row>
    <row r="135">
      <c r="A135" s="7" t="n">
        <v>356</v>
      </c>
      <c r="B135" s="7" t="inlineStr">
        <is>
          <t>TB</t>
        </is>
      </c>
      <c r="C135" s="7" t="inlineStr">
        <is>
          <t>Second-line TB treatment</t>
        </is>
      </c>
      <c r="D135" s="8" t="inlineStr">
        <is>
          <t>XDR-TB treatment</t>
        </is>
      </c>
      <c r="E135" s="8" t="inlineStr">
        <is>
          <t>Traitement de la TB ultrarésistante (XDR-TB)</t>
        </is>
      </c>
      <c r="F135" s="7" t="inlineStr">
        <is>
          <t>Tuberculosis</t>
        </is>
      </c>
      <c r="G135" s="7" t="inlineStr">
        <is>
          <t>XDR cases</t>
        </is>
      </c>
      <c r="H135" s="7" t="n"/>
      <c r="I135" s="7" t="inlineStr">
        <is>
          <t>Available - Uganda fallback</t>
        </is>
      </c>
      <c r="J135" s="7" t="inlineStr">
        <is>
          <t>Available - OHT Senegal ($2023)</t>
        </is>
      </c>
      <c r="K135" s="7" t="inlineStr">
        <is>
          <t>Missing</t>
        </is>
      </c>
      <c r="L135" s="7" t="inlineStr">
        <is>
          <t>Non</t>
        </is>
      </c>
      <c r="M135" s="9" t="inlineStr"/>
      <c r="N135" s="9" t="inlineStr"/>
      <c r="O135" s="9" t="inlineStr"/>
    </row>
    <row r="136">
      <c r="A136" s="7" t="n">
        <v>382</v>
      </c>
      <c r="B136" s="7" t="inlineStr">
        <is>
          <t>TB</t>
        </is>
      </c>
      <c r="C136" s="7" t="inlineStr">
        <is>
          <t>TB preventive therapy (TPT)</t>
        </is>
      </c>
      <c r="D136" s="8" t="inlineStr">
        <is>
          <t>TPT for HIV-negative child household contacts</t>
        </is>
      </c>
      <c r="E136" s="8" t="inlineStr">
        <is>
          <t>TPT pour les enfants VIH-négatifs contacts du ménage</t>
        </is>
      </c>
      <c r="F136" s="7" t="inlineStr">
        <is>
          <t>Tuberculosis</t>
        </is>
      </c>
      <c r="G136" s="7" t="inlineStr">
        <is>
          <t>TB-negative child household contacts</t>
        </is>
      </c>
      <c r="H136" s="7" t="n"/>
      <c r="I136" s="7" t="inlineStr">
        <is>
          <t>Available - Uganda fallback</t>
        </is>
      </c>
      <c r="J136" s="7" t="inlineStr">
        <is>
          <t>Available - OHT Senegal ($2023)</t>
        </is>
      </c>
      <c r="K136" s="7" t="inlineStr">
        <is>
          <t>Missing</t>
        </is>
      </c>
      <c r="L136" s="7" t="inlineStr">
        <is>
          <t>Non</t>
        </is>
      </c>
      <c r="M136" s="9" t="inlineStr"/>
      <c r="N136" s="9" t="inlineStr"/>
      <c r="O136" s="9" t="inlineStr"/>
    </row>
    <row r="137">
      <c r="A137" s="7" t="n">
        <v>383</v>
      </c>
      <c r="B137" s="7" t="inlineStr">
        <is>
          <t>TB</t>
        </is>
      </c>
      <c r="C137" s="7" t="inlineStr">
        <is>
          <t>TB preventive therapy (TPT)</t>
        </is>
      </c>
      <c r="D137" s="8" t="inlineStr">
        <is>
          <t>TPT for HIV-negative adult household contacts</t>
        </is>
      </c>
      <c r="E137" s="8" t="inlineStr">
        <is>
          <t>TPT pour les adultes VIH-négatifs contacts du ménage</t>
        </is>
      </c>
      <c r="F137" s="7" t="inlineStr">
        <is>
          <t>Tuberculosis</t>
        </is>
      </c>
      <c r="G137" s="7" t="inlineStr">
        <is>
          <t>TB-negative adult household contacts</t>
        </is>
      </c>
      <c r="H137" s="7" t="n"/>
      <c r="I137" s="7" t="inlineStr">
        <is>
          <t>Missing</t>
        </is>
      </c>
      <c r="J137" s="7" t="inlineStr">
        <is>
          <t>Available - OHT Senegal ($2023)</t>
        </is>
      </c>
      <c r="K137" s="7" t="inlineStr">
        <is>
          <t>Missing</t>
        </is>
      </c>
      <c r="L137" s="7" t="inlineStr">
        <is>
          <t>Non</t>
        </is>
      </c>
      <c r="M137" s="9" t="inlineStr"/>
      <c r="N137" s="9" t="inlineStr"/>
      <c r="O137" s="9" t="inlineStr"/>
    </row>
    <row r="138">
      <c r="A138" s="7" t="n">
        <v>386</v>
      </c>
      <c r="B138" s="7" t="inlineStr">
        <is>
          <t>TB</t>
        </is>
      </c>
      <c r="C138" s="7" t="inlineStr">
        <is>
          <t>TB preventive therapy (TPT)</t>
        </is>
      </c>
      <c r="D138" s="8" t="inlineStr">
        <is>
          <t>TPT for new child ART patients</t>
        </is>
      </c>
      <c r="E138" s="8" t="inlineStr">
        <is>
          <t>TPT pour les nouveaux enfants sous ARV</t>
        </is>
      </c>
      <c r="F138" s="7" t="inlineStr">
        <is>
          <t>Tuberculosis</t>
        </is>
      </c>
      <c r="G138" s="7" t="inlineStr">
        <is>
          <t>TB-negative new child ART patients</t>
        </is>
      </c>
      <c r="H138" s="7" t="n">
        <v>7</v>
      </c>
      <c r="I138" s="7" t="inlineStr">
        <is>
          <t>Missing</t>
        </is>
      </c>
      <c r="J138" s="7" t="inlineStr">
        <is>
          <t>Available - OHT Senegal ($2023)</t>
        </is>
      </c>
      <c r="K138" s="7" t="inlineStr">
        <is>
          <t>Available</t>
        </is>
      </c>
      <c r="L138" s="7" t="inlineStr">
        <is>
          <t>Non</t>
        </is>
      </c>
      <c r="M138" s="9" t="inlineStr"/>
      <c r="N138" s="9" t="inlineStr"/>
      <c r="O138" s="9" t="inlineStr"/>
    </row>
    <row r="139">
      <c r="A139" s="7" t="n">
        <v>387</v>
      </c>
      <c r="B139" s="7" t="inlineStr">
        <is>
          <t>TB</t>
        </is>
      </c>
      <c r="C139" s="7" t="inlineStr">
        <is>
          <t>TB preventive therapy (TPT)</t>
        </is>
      </c>
      <c r="D139" s="8" t="inlineStr">
        <is>
          <t>TPT for new adult ART patients</t>
        </is>
      </c>
      <c r="E139" s="8" t="inlineStr">
        <is>
          <t>TPT pour les nouveaux adultes sous ARV</t>
        </is>
      </c>
      <c r="F139" s="7" t="inlineStr">
        <is>
          <t>Tuberculosis</t>
        </is>
      </c>
      <c r="G139" s="7" t="inlineStr">
        <is>
          <t>TB-negative new adult ART patients</t>
        </is>
      </c>
      <c r="H139" s="7" t="n">
        <v>134</v>
      </c>
      <c r="I139" s="7" t="inlineStr">
        <is>
          <t>Missing</t>
        </is>
      </c>
      <c r="J139" s="7" t="inlineStr">
        <is>
          <t>Available - OHT Senegal ($2023)</t>
        </is>
      </c>
      <c r="K139" s="7" t="inlineStr">
        <is>
          <t>Available</t>
        </is>
      </c>
      <c r="L139" s="7" t="inlineStr">
        <is>
          <t>Non</t>
        </is>
      </c>
      <c r="M139" s="9" t="inlineStr"/>
      <c r="N139" s="9" t="inlineStr"/>
      <c r="O139" s="9" t="inlineStr"/>
    </row>
    <row r="140">
      <c r="A140" s="7" t="n">
        <v>204</v>
      </c>
      <c r="B140" s="7" t="inlineStr">
        <is>
          <t>Non-communicable diseases</t>
        </is>
      </c>
      <c r="C140" s="7" t="inlineStr">
        <is>
          <t>CVD &amp; diabetes</t>
        </is>
      </c>
      <c r="D140" s="8" t="inlineStr">
        <is>
          <t>Treatment for those with very high cholesterol but low absolute risk of CVD/diabetes</t>
        </is>
      </c>
      <c r="E140" s="8" t="inlineStr">
        <is>
          <t>Traitement de l'hypercholestérolémie sévère à risque absolu faible</t>
        </is>
      </c>
      <c r="F140" s="7" t="inlineStr">
        <is>
          <t>Ischemic heart disease</t>
        </is>
      </c>
      <c r="G140" s="7" t="inlineStr">
        <is>
          <t>People with cholesterol &gt; 8 mmol/L and total CVD risk &lt; 20%</t>
        </is>
      </c>
      <c r="H140" s="7" t="n"/>
      <c r="I140" s="7" t="inlineStr">
        <is>
          <t>Missing</t>
        </is>
      </c>
      <c r="J140" s="7" t="inlineStr">
        <is>
          <t>Available - OHT Senegal ($2023)</t>
        </is>
      </c>
      <c r="K140" s="7" t="inlineStr">
        <is>
          <t>Missing</t>
        </is>
      </c>
      <c r="L140" s="7" t="inlineStr">
        <is>
          <t>Non</t>
        </is>
      </c>
      <c r="M140" s="9" t="inlineStr"/>
      <c r="N140" s="9" t="inlineStr"/>
      <c r="O140" s="9" t="inlineStr"/>
    </row>
    <row r="141">
      <c r="A141" s="7" t="n">
        <v>208</v>
      </c>
      <c r="B141" s="7" t="inlineStr">
        <is>
          <t>Non-communicable diseases</t>
        </is>
      </c>
      <c r="C141" s="7" t="inlineStr">
        <is>
          <t>CVD &amp; diabetes</t>
        </is>
      </c>
      <c r="D141" s="8" t="inlineStr">
        <is>
          <t>Treatment of new cases of acute myocardial infarction (AMI) with aspirin</t>
        </is>
      </c>
      <c r="E141" s="8" t="inlineStr">
        <is>
          <t>Traitement de l'infarctus aigu du myocarde par aspirine</t>
        </is>
      </c>
      <c r="F141" s="7" t="inlineStr">
        <is>
          <t>Ischemic heart disease</t>
        </is>
      </c>
      <c r="G141" s="7" t="inlineStr">
        <is>
          <t>People with acute strokes or acute IHD</t>
        </is>
      </c>
      <c r="H141" s="7" t="n">
        <v>34817</v>
      </c>
      <c r="I141" s="7" t="inlineStr">
        <is>
          <t>Missing</t>
        </is>
      </c>
      <c r="J141" s="7" t="inlineStr">
        <is>
          <t>Available - OHT Senegal ($2023)</t>
        </is>
      </c>
      <c r="K141" s="7" t="inlineStr">
        <is>
          <t>Available</t>
        </is>
      </c>
      <c r="L141" s="7" t="inlineStr">
        <is>
          <t>Non</t>
        </is>
      </c>
      <c r="M141" s="9" t="inlineStr"/>
      <c r="N141" s="9" t="inlineStr"/>
      <c r="O141" s="9" t="inlineStr"/>
    </row>
    <row r="142">
      <c r="A142" s="7" t="n">
        <v>209</v>
      </c>
      <c r="B142" s="7" t="inlineStr">
        <is>
          <t>Non-communicable diseases</t>
        </is>
      </c>
      <c r="C142" s="7" t="inlineStr">
        <is>
          <t>CVD &amp; diabetes</t>
        </is>
      </c>
      <c r="D142" s="8" t="inlineStr">
        <is>
          <t>Treatment of cases with established ischaemic heart disease (IHD)</t>
        </is>
      </c>
      <c r="E142" s="8" t="inlineStr">
        <is>
          <t>Traitement de la cardiopathie ischémique établie</t>
        </is>
      </c>
      <c r="F142" s="7" t="inlineStr">
        <is>
          <t>Ischemic heart disease</t>
        </is>
      </c>
      <c r="G142" s="7" t="inlineStr">
        <is>
          <t>People with post-acute IHD</t>
        </is>
      </c>
      <c r="H142" s="7" t="n">
        <v>14625</v>
      </c>
      <c r="I142" s="7" t="inlineStr">
        <is>
          <t>Missing</t>
        </is>
      </c>
      <c r="J142" s="7" t="inlineStr">
        <is>
          <t>Available - OHT Senegal ($2023)</t>
        </is>
      </c>
      <c r="K142" s="7" t="inlineStr">
        <is>
          <t>Available</t>
        </is>
      </c>
      <c r="L142" s="7" t="inlineStr">
        <is>
          <t>Non</t>
        </is>
      </c>
      <c r="M142" s="9" t="inlineStr"/>
      <c r="N142" s="9" t="inlineStr"/>
      <c r="O142" s="9" t="inlineStr"/>
    </row>
  </sheetData>
  <dataValidations count="1">
    <dataValidation sqref="M2:M142" showDropDown="0" showInputMessage="0" showErrorMessage="0" allowBlank="1" type="list">
      <formula1>"E01,E02,E03,E04,E05,E06,E07,E08,E09,E10,E11,E12,E13,E14,E15,E16,Autre (préciser en note)"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26" customWidth="1" min="10" max="10"/>
    <col width="8" customWidth="1" min="11" max="11"/>
    <col width="40" customWidth="1" min="12" max="12"/>
    <col width="22" customWidth="1" min="13" max="13"/>
    <col width="40" customWidth="1" min="14" max="14"/>
    <col width="14" customWidth="1" min="15" max="15"/>
  </cols>
  <sheetData>
    <row r="1">
      <c r="A1" s="6" t="inlineStr">
        <is>
          <t>ID</t>
        </is>
      </c>
      <c r="B1" s="6" t="inlineStr">
        <is>
          <t>Cause GBD</t>
        </is>
      </c>
      <c r="C1" s="6" t="inlineStr">
        <is>
          <t>Nb interventions concernées (onglet 1)</t>
        </is>
      </c>
      <c r="D1" s="6" t="inlineStr">
        <is>
          <t>Q1 - Plus pauvre (%)</t>
        </is>
      </c>
      <c r="E1" s="6" t="inlineStr">
        <is>
          <t>Q2 (%)</t>
        </is>
      </c>
      <c r="F1" s="6" t="inlineStr">
        <is>
          <t>Q3 (%)</t>
        </is>
      </c>
      <c r="G1" s="6" t="inlineStr">
        <is>
          <t>Q4 (%)</t>
        </is>
      </c>
      <c r="H1" s="6" t="inlineStr">
        <is>
          <t>Q5 - Plus riche (%)</t>
        </is>
      </c>
      <c r="I1" s="6" t="inlineStr">
        <is>
          <t>Somme (contrôle)</t>
        </is>
      </c>
      <c r="J1" s="6" t="inlineStr">
        <is>
          <t>Source (enquête/rapport)</t>
        </is>
      </c>
      <c r="K1" s="6" t="inlineStr">
        <is>
          <t>Année</t>
        </is>
      </c>
      <c r="L1" s="6" t="inlineStr">
        <is>
          <t>Indicateur / Tableau exact (piste)</t>
        </is>
      </c>
      <c r="M1" s="6" t="inlineStr">
        <is>
          <t>Page / Tableau n° (à vérifier)</t>
        </is>
      </c>
      <c r="N1" s="6" t="inlineStr">
        <is>
          <t>Justification</t>
        </is>
      </c>
      <c r="O1" s="6" t="inlineStr">
        <is>
          <t>Statut</t>
        </is>
      </c>
    </row>
    <row r="2">
      <c r="A2" s="7" t="inlineStr">
        <is>
          <t>D01</t>
        </is>
      </c>
      <c r="B2" s="8" t="inlineStr">
        <is>
          <t>Anxiety disorders</t>
        </is>
      </c>
      <c r="C2" s="7" t="n">
        <v>2</v>
      </c>
      <c r="D2" s="10" t="n"/>
      <c r="E2" s="10" t="n"/>
      <c r="F2" s="10" t="n"/>
      <c r="G2" s="10" t="n"/>
      <c r="H2" s="10" t="n"/>
      <c r="I2" s="7">
        <f>SUM(D2:H2)</f>
        <v/>
      </c>
      <c r="J2" s="7" t="inlineStr">
        <is>
          <t>Confirmé absent — recherche 'tension artérielle/hypertension/diabète/glycémie' infructueuse également, aucun module santé mentale</t>
        </is>
      </c>
      <c r="K2" s="10" t="n"/>
      <c r="L2" s="11" t="inlineStr">
        <is>
          <t>Confirmé absent — recherche 'tension artérielle/hypertension/diabète/glycémie' infructueuse également, aucun module santé mentale</t>
        </is>
      </c>
      <c r="M2" s="10" t="inlineStr"/>
      <c r="N2" s="11" t="inlineStr">
        <is>
          <t>Recherché (santé mentale), non trouvé dans ce document. Hypothèse par défaut (distribution égale) à documenter comme limite.</t>
        </is>
      </c>
      <c r="O2" s="7" t="inlineStr">
        <is>
          <t>À rechercher</t>
        </is>
      </c>
    </row>
    <row r="3">
      <c r="A3" s="7" t="inlineStr">
        <is>
          <t>D02</t>
        </is>
      </c>
      <c r="B3" s="8" t="inlineStr">
        <is>
          <t>Depressive disorders</t>
        </is>
      </c>
      <c r="C3" s="7" t="n">
        <v>4</v>
      </c>
      <c r="D3" s="10" t="n"/>
      <c r="E3" s="10" t="n"/>
      <c r="F3" s="10" t="n"/>
      <c r="G3" s="10" t="n"/>
      <c r="H3" s="10" t="n"/>
      <c r="I3" s="7">
        <f>SUM(D3:H3)</f>
        <v/>
      </c>
      <c r="J3" s="7" t="inlineStr">
        <is>
          <t>Confirmé absent</t>
        </is>
      </c>
      <c r="K3" s="10" t="n"/>
      <c r="L3" s="11" t="inlineStr">
        <is>
          <t>Confirmé absent</t>
        </is>
      </c>
      <c r="M3" s="10" t="inlineStr"/>
      <c r="N3" s="11" t="inlineStr">
        <is>
          <t>Idem anxiété — recherché, non trouvé. Hypothèse par défaut à documenter.</t>
        </is>
      </c>
      <c r="O3" s="7" t="inlineStr">
        <is>
          <t>À rechercher</t>
        </is>
      </c>
    </row>
    <row r="4">
      <c r="A4" s="7" t="inlineStr">
        <is>
          <t>D03</t>
        </is>
      </c>
      <c r="B4" s="8" t="inlineStr">
        <is>
          <t>Diabetes mellitus</t>
        </is>
      </c>
      <c r="C4" s="7" t="n">
        <v>4</v>
      </c>
      <c r="D4" s="10" t="n"/>
      <c r="E4" s="10" t="n"/>
      <c r="F4" s="10" t="n"/>
      <c r="G4" s="10" t="n"/>
      <c r="H4" s="10" t="n"/>
      <c r="I4" s="7">
        <f>SUM(D4:H4)</f>
        <v/>
      </c>
      <c r="J4" s="7" t="inlineStr">
        <is>
          <t>Confirmé absent de l'EDS-Continue 2023</t>
        </is>
      </c>
      <c r="K4" s="10" t="n"/>
      <c r="L4" s="11" t="inlineStr">
        <is>
          <t>Confirmé absent de l'EDS-Continue 2023</t>
        </is>
      </c>
      <c r="M4" s="10" t="inlineStr"/>
      <c r="N4" s="11" t="inlineStr">
        <is>
          <t>Recherché ('diabète', 'glycémie') : aucun module de dépistage des maladies non transmissibles dans ce document. Se référer à STEPS Sénégal (OMS) si disponible.</t>
        </is>
      </c>
      <c r="O4" s="7" t="inlineStr">
        <is>
          <t>À rechercher</t>
        </is>
      </c>
    </row>
    <row r="5">
      <c r="A5" s="7" t="inlineStr">
        <is>
          <t>D04</t>
        </is>
      </c>
      <c r="B5" s="8" t="inlineStr">
        <is>
          <t>Diarrheal diseases</t>
        </is>
      </c>
      <c r="C5" s="7" t="n">
        <v>6</v>
      </c>
      <c r="D5" s="12" t="n">
        <v>15.7</v>
      </c>
      <c r="E5" s="12" t="n">
        <v>19</v>
      </c>
      <c r="F5" s="12" t="n">
        <v>21.4</v>
      </c>
      <c r="G5" s="12" t="n">
        <v>21.7</v>
      </c>
      <c r="H5" s="12" t="n">
        <v>22.3</v>
      </c>
      <c r="I5" s="7">
        <f>SUM(D5:H5)</f>
        <v/>
      </c>
      <c r="J5" s="12" t="inlineStr">
        <is>
          <t>EDS-Continue Sénégal 2023</t>
        </is>
      </c>
      <c r="K5" s="10" t="n">
        <v>2023</v>
      </c>
      <c r="L5" s="11" t="inlineStr">
        <is>
          <t>Tableau 10.9 — Enfants &lt;5 ans ayant eu la diarrhée (2 semaines précédentes)</t>
        </is>
      </c>
      <c r="M5" s="10" t="inlineStr">
        <is>
          <t>p.148 (PDF p.174)</t>
        </is>
      </c>
      <c r="N5" s="11" t="inlineStr">
        <is>
          <t>Part de cas calculée à partir des taux de prévalence de la diarrhée par quintile (17,6% / 21,3% / 24,0% / 24,3% / 25,0%), rapportés à leur somme — les quintiles ayant une taille de population égale par construction, la part de cas = taux / somme des taux.</t>
        </is>
      </c>
      <c r="O5" s="7" t="inlineStr">
        <is>
          <t>Rempli</t>
        </is>
      </c>
    </row>
    <row r="6">
      <c r="A6" s="7" t="inlineStr">
        <is>
          <t>D05</t>
        </is>
      </c>
      <c r="B6" s="8" t="inlineStr">
        <is>
          <t>Dietary iron deficiency</t>
        </is>
      </c>
      <c r="C6" s="7" t="n">
        <v>8</v>
      </c>
      <c r="D6" s="10" t="n"/>
      <c r="E6" s="10" t="n"/>
      <c r="F6" s="10" t="n"/>
      <c r="G6" s="10" t="n"/>
      <c r="H6" s="10" t="n"/>
      <c r="I6" s="7">
        <f>SUM(D6:H6)</f>
        <v/>
      </c>
      <c r="J6" s="7" t="inlineStr">
        <is>
          <t>Anémie mentionnée en indicateur clé national uniquement (pas de table par quintile)</t>
        </is>
      </c>
      <c r="K6" s="10" t="n"/>
      <c r="L6" s="11" t="inlineStr">
        <is>
          <t>Anémie mentionnée en indicateur clé national uniquement (pas de table par quintile)</t>
        </is>
      </c>
      <c r="M6" s="10" t="inlineStr"/>
      <c r="N6" s="11" t="inlineStr">
        <is>
          <t>Recherché ('anémie') : ce document ne contient qu'un chiffre national synthétique dans le tableau des indicateurs clés (mention 'Prévalence de l'anémie parmi les femmes'), sans table détaillée par quintile — le test d'hémoglobine (biomarqueur) et sa restitution détaillée par sous-groupe ne semblent pas inclus dans cet extrait. Vérifier si un volume séparé du rapport EDS-Continue (biomarqueurs) existe.</t>
        </is>
      </c>
      <c r="O6" s="7" t="inlineStr">
        <is>
          <t>À rechercher</t>
        </is>
      </c>
    </row>
    <row r="7">
      <c r="A7" s="7" t="inlineStr">
        <is>
          <t>D06</t>
        </is>
      </c>
      <c r="B7" s="8" t="inlineStr">
        <is>
          <t>HIV/AIDS</t>
        </is>
      </c>
      <c r="C7" s="7" t="n">
        <v>10</v>
      </c>
      <c r="D7" s="10" t="n"/>
      <c r="E7" s="10" t="n"/>
      <c r="F7" s="10" t="n"/>
      <c r="G7" s="10" t="n"/>
      <c r="H7" s="10" t="n"/>
      <c r="I7" s="7">
        <f>SUM(D7:H7)</f>
        <v/>
      </c>
      <c r="J7" s="7" t="inlineStr">
        <is>
          <t>Non trouvé : pas de volet sérologie VIH dans ce document</t>
        </is>
      </c>
      <c r="K7" s="10" t="n"/>
      <c r="L7" s="11" t="inlineStr">
        <is>
          <t>Non trouvé : pas de volet sérologie VIH dans ce document</t>
        </is>
      </c>
      <c r="M7" s="10" t="inlineStr"/>
      <c r="N7" s="11" t="inlineStr">
        <is>
          <t>Recherché (VIH/séroprévalence) : ce document ne contient pas de test biomarqueur VIH par quintile — l'EDS-Continue est un round annuel allégé, généralement sans volet sérologique (à la différence de l'EDS complète tous les 5 ans). Seule la couverture du TEST est disponible par quintile (onglet 3, indicateur E10) — utilisable comme proxy d'accès, pas de prévalence.</t>
        </is>
      </c>
      <c r="O7" s="7" t="inlineStr">
        <is>
          <t>À rechercher</t>
        </is>
      </c>
    </row>
    <row r="8">
      <c r="A8" s="7" t="inlineStr">
        <is>
          <t>D07</t>
        </is>
      </c>
      <c r="B8" s="8" t="inlineStr">
        <is>
          <t>Ischemic heart disease</t>
        </is>
      </c>
      <c r="C8" s="7" t="n">
        <v>5</v>
      </c>
      <c r="D8" s="10" t="n"/>
      <c r="E8" s="10" t="n"/>
      <c r="F8" s="10" t="n"/>
      <c r="G8" s="10" t="n"/>
      <c r="H8" s="10" t="n"/>
      <c r="I8" s="7">
        <f>SUM(D8:H8)</f>
        <v/>
      </c>
      <c r="J8" s="7" t="inlineStr">
        <is>
          <t>Confirmé absent de l'EDS-Continue 2023</t>
        </is>
      </c>
      <c r="K8" s="10" t="n"/>
      <c r="L8" s="11" t="inlineStr">
        <is>
          <t>Confirmé absent de l'EDS-Continue 2023</t>
        </is>
      </c>
      <c r="M8" s="10" t="inlineStr"/>
      <c r="N8" s="11" t="inlineStr">
        <is>
          <t>Recherché ('tension artérielle', 'hypertension') : aucun module cardiovasculaire dans ce document. Se référer à STEPS Sénégal (OMS).</t>
        </is>
      </c>
      <c r="O8" s="7" t="inlineStr">
        <is>
          <t>À rechercher</t>
        </is>
      </c>
    </row>
    <row r="9">
      <c r="A9" s="7" t="inlineStr">
        <is>
          <t>D08</t>
        </is>
      </c>
      <c r="B9" s="8" t="inlineStr">
        <is>
          <t>Lower respiratory infections</t>
        </is>
      </c>
      <c r="C9" s="7" t="n">
        <v>3</v>
      </c>
      <c r="D9" s="10" t="n"/>
      <c r="E9" s="10" t="n"/>
      <c r="F9" s="10" t="n"/>
      <c r="G9" s="10" t="n"/>
      <c r="H9" s="10" t="n"/>
      <c r="I9" s="7">
        <f>SUM(D9:H9)</f>
        <v/>
      </c>
      <c r="J9" s="7" t="inlineStr">
        <is>
          <t>EDS-Continue Sénégal</t>
        </is>
      </c>
      <c r="K9" s="10" t="n"/>
      <c r="L9" s="8" t="inlineStr">
        <is>
          <t>Santé de l'enfant : symptômes d'IRA (toux + respiration rapide) par quintile de richesse</t>
        </is>
      </c>
      <c r="M9" s="10" t="n"/>
      <c r="N9" s="9" t="n"/>
      <c r="O9" s="7" t="inlineStr">
        <is>
          <t>À rechercher</t>
        </is>
      </c>
    </row>
    <row r="10">
      <c r="A10" s="7" t="inlineStr">
        <is>
          <t>D09</t>
        </is>
      </c>
      <c r="B10" s="8" t="inlineStr">
        <is>
          <t>Malaria</t>
        </is>
      </c>
      <c r="C10" s="7" t="n">
        <v>7</v>
      </c>
      <c r="D10" s="12" t="n">
        <v>13.6</v>
      </c>
      <c r="E10" s="12" t="n">
        <v>17.8</v>
      </c>
      <c r="F10" s="12" t="n">
        <v>22.1</v>
      </c>
      <c r="G10" s="12" t="n">
        <v>25.5</v>
      </c>
      <c r="H10" s="12" t="n">
        <v>21.1</v>
      </c>
      <c r="I10" s="7">
        <f>SUM(D10:H10)</f>
        <v/>
      </c>
      <c r="J10" s="12" t="inlineStr">
        <is>
          <t>EDS-Continue Sénégal 2023</t>
        </is>
      </c>
      <c r="K10" s="10" t="n">
        <v>2023</v>
      </c>
      <c r="L10" s="11" t="inlineStr">
        <is>
          <t>Tableau 12.10 — Enfants &lt;5 ans ayant eu de la fièvre (proxy palustre)</t>
        </is>
      </c>
      <c r="M10" s="10" t="inlineStr">
        <is>
          <t>p.178 (PDF p.204)</t>
        </is>
      </c>
      <c r="N10" s="11" t="inlineStr">
        <is>
          <t>PROXY : prévalence de la fièvre chez les &lt;5 ans (14,8/19,4/24,1/27,9/23,0%), le paludisme confirmé par test ne concernant que 15,7% des cas fébriles en moyenne (même tableau). À défaut d'une prévalence palustre confirmée par quintile dans ce document, la fièvre sert de proxy de charge, comme couramment fait en zone d'endémie.</t>
        </is>
      </c>
      <c r="O10" s="7" t="inlineStr">
        <is>
          <t>Rempli</t>
        </is>
      </c>
    </row>
    <row r="11">
      <c r="A11" s="7" t="inlineStr">
        <is>
          <t>D10</t>
        </is>
      </c>
      <c r="B11" s="8" t="inlineStr">
        <is>
          <t>Maternal disorders</t>
        </is>
      </c>
      <c r="C11" s="7" t="n">
        <v>29</v>
      </c>
      <c r="D11" s="10" t="n"/>
      <c r="E11" s="10" t="n"/>
      <c r="F11" s="10" t="n"/>
      <c r="G11" s="10" t="n"/>
      <c r="H11" s="10" t="n"/>
      <c r="I11" s="7">
        <f>SUM(D11:H11)</f>
        <v/>
      </c>
      <c r="J11" s="7" t="inlineStr">
        <is>
          <t>Pas de table de prévalence des complications par quintile trouvée</t>
        </is>
      </c>
      <c r="K11" s="10" t="n"/>
      <c r="L11" s="11" t="inlineStr">
        <is>
          <t>Pas de table de prévalence des complications par quintile trouvée</t>
        </is>
      </c>
      <c r="M11" s="10" t="inlineStr"/>
      <c r="N11" s="11" t="inlineStr">
        <is>
          <t>Recherché : aucune table de prévalence des complications de grossesse/accouchement par quintile identifiée dans ce document. Les indicateurs d'ACCÈS sont en revanche solides : CPN4 (onglet 3, E02) et accouchement assisté (E03). Option : hypothèse de prévalence égale par quintile en première approche, l'essentiel du gradient d'équité venant alors du côté utilisation (E).</t>
        </is>
      </c>
      <c r="O11" s="7" t="inlineStr">
        <is>
          <t>À rechercher</t>
        </is>
      </c>
    </row>
    <row r="12">
      <c r="A12" s="7" t="inlineStr">
        <is>
          <t>D11</t>
        </is>
      </c>
      <c r="B12" s="8" t="inlineStr">
        <is>
          <t>Measles</t>
        </is>
      </c>
      <c r="C12" s="7" t="n">
        <v>2</v>
      </c>
      <c r="D12" s="10" t="n"/>
      <c r="E12" s="10" t="n"/>
      <c r="F12" s="10" t="n"/>
      <c r="G12" s="10" t="n"/>
      <c r="H12" s="10" t="n"/>
      <c r="I12" s="7">
        <f>SUM(D12:H12)</f>
        <v/>
      </c>
      <c r="J12" s="7" t="inlineStr">
        <is>
          <t>Pas de prévalence rougeole (maladie rare) — voir couverture vaccinale (onglet 3)</t>
        </is>
      </c>
      <c r="K12" s="10" t="n"/>
      <c r="L12" s="11" t="inlineStr">
        <is>
          <t>Pas de prévalence rougeole (maladie rare) — voir couverture vaccinale (onglet 3)</t>
        </is>
      </c>
      <c r="M12" s="10" t="inlineStr"/>
      <c r="N12" s="11" t="inlineStr">
        <is>
          <t>Sans objet pour la prévalence (maladie évitée par la vaccination, peu de cas observés en enquête ménage). Le gradient d'équité passe par la couverture vaccinale RR/ROR (Tableau 10.4, p.142/PDF p.166) — présente mais non extraite ici (voir note onglet 3, E05).</t>
        </is>
      </c>
      <c r="O12" s="7" t="inlineStr">
        <is>
          <t>À rechercher</t>
        </is>
      </c>
    </row>
    <row r="13">
      <c r="A13" s="7" t="inlineStr">
        <is>
          <t>D12</t>
        </is>
      </c>
      <c r="B13" s="8" t="inlineStr">
        <is>
          <t>Neonatal disorders</t>
        </is>
      </c>
      <c r="C13" s="7" t="n">
        <v>9</v>
      </c>
      <c r="D13" s="12" t="n">
        <v>24.8</v>
      </c>
      <c r="E13" s="12" t="n">
        <v>24.8</v>
      </c>
      <c r="F13" s="12" t="n">
        <v>21.4</v>
      </c>
      <c r="G13" s="12" t="n">
        <v>12</v>
      </c>
      <c r="H13" s="12" t="n">
        <v>17.1</v>
      </c>
      <c r="I13" s="7">
        <f>SUM(D13:H13)</f>
        <v/>
      </c>
      <c r="J13" s="12" t="inlineStr">
        <is>
          <t>EDS-Continue Sénégal 2023</t>
        </is>
      </c>
      <c r="K13" s="10" t="n">
        <v>2023</v>
      </c>
      <c r="L13" s="11" t="inlineStr">
        <is>
          <t>Tableau 8.3 — Mortalité néonatale (pour 1 000 naissances), 10 ans avant l'enquête</t>
        </is>
      </c>
      <c r="M13" s="10" t="inlineStr">
        <is>
          <t>p.110 (PDF p.136)</t>
        </is>
      </c>
      <c r="N13" s="11" t="inlineStr">
        <is>
          <t>Part calculée à partir des quotients de mortalité néonatale par quintile (29/29/25/14/20 pour 1 000). Profil NON monotone (Q2≈Q1 plus pauvre, Q4&lt;Q5) — donnée réelle observée, pas une hypothèse de gradient régulier ; à ne pas lisser artificiellement.</t>
        </is>
      </c>
      <c r="O13" s="7" t="inlineStr">
        <is>
          <t>Rempli</t>
        </is>
      </c>
    </row>
    <row r="14">
      <c r="A14" s="7" t="inlineStr">
        <is>
          <t>D13</t>
        </is>
      </c>
      <c r="B14" s="8" t="inlineStr">
        <is>
          <t>Stroke</t>
        </is>
      </c>
      <c r="C14" s="7" t="n">
        <v>2</v>
      </c>
      <c r="D14" s="10" t="n"/>
      <c r="E14" s="10" t="n"/>
      <c r="F14" s="10" t="n"/>
      <c r="G14" s="10" t="n"/>
      <c r="H14" s="10" t="n"/>
      <c r="I14" s="7">
        <f>SUM(D14:H14)</f>
        <v/>
      </c>
      <c r="J14" s="7" t="inlineStr">
        <is>
          <t>Confirmé absent de l'EDS-Continue 2023</t>
        </is>
      </c>
      <c r="K14" s="10" t="n"/>
      <c r="L14" s="11" t="inlineStr">
        <is>
          <t>Confirmé absent de l'EDS-Continue 2023</t>
        </is>
      </c>
      <c r="M14" s="10" t="inlineStr"/>
      <c r="N14" s="11" t="inlineStr">
        <is>
          <t>Idem maladies cardiovasculaires — recherché, non trouvé. Se référer à STEPS Sénégal (OMS), proxy hypertension.</t>
        </is>
      </c>
      <c r="O14" s="7" t="inlineStr">
        <is>
          <t>À rechercher</t>
        </is>
      </c>
    </row>
    <row r="15">
      <c r="A15" s="7" t="inlineStr">
        <is>
          <t>D14</t>
        </is>
      </c>
      <c r="B15" s="8" t="inlineStr">
        <is>
          <t>Tuberculosis</t>
        </is>
      </c>
      <c r="C15" s="7" t="n">
        <v>50</v>
      </c>
      <c r="D15" s="10" t="n"/>
      <c r="E15" s="10" t="n"/>
      <c r="F15" s="10" t="n"/>
      <c r="G15" s="10" t="n"/>
      <c r="H15" s="10" t="n"/>
      <c r="I15" s="7">
        <f>SUM(D15:H15)</f>
        <v/>
      </c>
      <c r="J15" s="7" t="inlineStr">
        <is>
          <t>Confirmé absent — aucun module EDS dédié</t>
        </is>
      </c>
      <c r="K15" s="10" t="n"/>
      <c r="L15" s="11" t="inlineStr">
        <is>
          <t>Confirmé absent — aucun module EDS dédié</t>
        </is>
      </c>
      <c r="M15" s="10" t="inlineStr"/>
      <c r="N15" s="11" t="inlineStr">
        <is>
          <t>Recherché, non trouvé. Confirme la note initiale : utiliser le rapport annuel du Programme National de lutte contre la Tuberculose (PNT), ou une hypothèse de distribution égale à documenter comme limite (cf. Box 2, Arnold et al. 2020).</t>
        </is>
      </c>
      <c r="O15" s="7" t="inlineStr">
        <is>
          <t>À rechercher</t>
        </is>
      </c>
    </row>
  </sheetData>
  <dataValidations count="1">
    <dataValidation sqref="O2:O15" showDropDown="0" showInputMessage="0" showErrorMessage="0" allowBlank="1" type="list">
      <formula1>"À rechercher,Rempli,Vérifié"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26" customWidth="1" min="9" max="9"/>
    <col width="8" customWidth="1" min="10" max="10"/>
    <col width="22" customWidth="1" min="11" max="11"/>
    <col width="40" customWidth="1" min="12" max="12"/>
    <col width="14" customWidth="1" min="13" max="13"/>
  </cols>
  <sheetData>
    <row r="1">
      <c r="A1" s="6" t="inlineStr">
        <is>
          <t>ID</t>
        </is>
      </c>
      <c r="B1" s="6" t="inlineStr">
        <is>
          <t>Indicateur (utilisation/couverture)</t>
        </is>
      </c>
      <c r="C1" s="6" t="inlineStr">
        <is>
          <t>Description</t>
        </is>
      </c>
      <c r="D1" s="6" t="inlineStr">
        <is>
          <t>Q1 - Plus pauvre (%)</t>
        </is>
      </c>
      <c r="E1" s="6" t="inlineStr">
        <is>
          <t>Q2 (%)</t>
        </is>
      </c>
      <c r="F1" s="6" t="inlineStr">
        <is>
          <t>Q3 (%)</t>
        </is>
      </c>
      <c r="G1" s="6" t="inlineStr">
        <is>
          <t>Q4 (%)</t>
        </is>
      </c>
      <c r="H1" s="6" t="inlineStr">
        <is>
          <t>Q5 - Plus riche (%)</t>
        </is>
      </c>
      <c r="I1" s="6" t="inlineStr">
        <is>
          <t>Source (enquête/rapport)</t>
        </is>
      </c>
      <c r="J1" s="6" t="inlineStr">
        <is>
          <t>Année</t>
        </is>
      </c>
      <c r="K1" s="6" t="inlineStr">
        <is>
          <t>Page / Tableau n° (à vérifier)</t>
        </is>
      </c>
      <c r="L1" s="6" t="inlineStr">
        <is>
          <t>Justification</t>
        </is>
      </c>
      <c r="M1" s="6" t="inlineStr">
        <is>
          <t>Statut</t>
        </is>
      </c>
    </row>
    <row r="2">
      <c r="A2" s="7" t="inlineStr">
        <is>
          <t>E01</t>
        </is>
      </c>
      <c r="B2" s="8" t="inlineStr">
        <is>
          <t>Planification familiale (méthode moderne)</t>
        </is>
      </c>
      <c r="C2" s="8" t="inlineStr">
        <is>
          <t>Femmes de 15-49 ans en union utilisant une méthode moderne, par quintile</t>
        </is>
      </c>
      <c r="D2" s="12" t="n">
        <v>15.5</v>
      </c>
      <c r="E2" s="12" t="n">
        <v>21.9</v>
      </c>
      <c r="F2" s="12" t="n">
        <v>26.6</v>
      </c>
      <c r="G2" s="12" t="n">
        <v>30.6</v>
      </c>
      <c r="H2" s="12" t="n">
        <v>33.9</v>
      </c>
      <c r="I2" s="12" t="inlineStr">
        <is>
          <t>EDS-Continue Sénégal 2023</t>
        </is>
      </c>
      <c r="J2" s="7" t="n">
        <v>2023</v>
      </c>
      <c r="K2" s="12" t="inlineStr">
        <is>
          <t>p.94 (PDF p.120)</t>
        </is>
      </c>
      <c r="L2" s="11" t="inlineStr">
        <is>
          <t>Tableau 7.4.2, colonne 'Une méthode moderne', femmes 15-49 ans en union.</t>
        </is>
      </c>
      <c r="M2" s="7" t="inlineStr">
        <is>
          <t>Rempli</t>
        </is>
      </c>
    </row>
    <row r="3">
      <c r="A3" s="7" t="inlineStr">
        <is>
          <t>E02</t>
        </is>
      </c>
      <c r="B3" s="8" t="inlineStr">
        <is>
          <t>CPN4 (4+ consultations prénatales)</t>
        </is>
      </c>
      <c r="C3" s="8" t="inlineStr">
        <is>
          <t>Femmes ayant eu 4+ CPN pour la dernière naissance, par quintile</t>
        </is>
      </c>
      <c r="D3" s="12" t="n">
        <v>58.4</v>
      </c>
      <c r="E3" s="12" t="n">
        <v>71.90000000000001</v>
      </c>
      <c r="F3" s="12" t="n">
        <v>69.2</v>
      </c>
      <c r="G3" s="12" t="n">
        <v>68.59999999999999</v>
      </c>
      <c r="H3" s="12" t="n">
        <v>76.09999999999999</v>
      </c>
      <c r="I3" s="12" t="inlineStr">
        <is>
          <t>EDS-Continue Sénégal 2023</t>
        </is>
      </c>
      <c r="J3" s="7" t="n">
        <v>2023</v>
      </c>
      <c r="K3" s="12" t="inlineStr">
        <is>
          <t>p.114-115 (PDF p.140-141)</t>
        </is>
      </c>
      <c r="L3" s="11" t="inlineStr">
        <is>
          <t>Tableau 9.2, colonne '4 visites prénatales ou plus', naissances vivantes des 2 ans précédant l'enquête.</t>
        </is>
      </c>
      <c r="M3" s="7" t="inlineStr">
        <is>
          <t>Rempli</t>
        </is>
      </c>
    </row>
    <row r="4">
      <c r="A4" s="7" t="inlineStr">
        <is>
          <t>E03</t>
        </is>
      </c>
      <c r="B4" s="8" t="inlineStr">
        <is>
          <t>Accouchement assisté par personnel qualifié</t>
        </is>
      </c>
      <c r="C4" s="8" t="inlineStr">
        <is>
          <t>Naissances assistées par personnel de santé qualifié, par quintile</t>
        </is>
      </c>
      <c r="D4" s="12" t="n">
        <v>82.5</v>
      </c>
      <c r="E4" s="12" t="n">
        <v>91.8</v>
      </c>
      <c r="F4" s="12" t="n">
        <v>97.7</v>
      </c>
      <c r="G4" s="12" t="n">
        <v>99.59999999999999</v>
      </c>
      <c r="H4" s="12" t="n">
        <v>99.40000000000001</v>
      </c>
      <c r="I4" s="12" t="inlineStr">
        <is>
          <t>EDS-Continue Sénégal 2023</t>
        </is>
      </c>
      <c r="J4" s="7" t="n">
        <v>2023</v>
      </c>
      <c r="K4" s="12" t="inlineStr">
        <is>
          <t>p.124-125 (PDF p.150-151)</t>
        </is>
      </c>
      <c r="L4" s="11" t="inlineStr">
        <is>
          <t>Tableau 9.9, colonne 'Pourcentage dont l'accouchement a été assisté par un prestataire qualifié'.</t>
        </is>
      </c>
      <c r="M4" s="7" t="inlineStr">
        <is>
          <t>Rempli</t>
        </is>
      </c>
    </row>
    <row r="5">
      <c r="A5" s="7" t="inlineStr">
        <is>
          <t>E04</t>
        </is>
      </c>
      <c r="B5" s="8" t="inlineStr">
        <is>
          <t>Soins postnatals précoces (mère/nouveau-né)</t>
        </is>
      </c>
      <c r="C5" s="8" t="inlineStr">
        <is>
          <t>Visite postnatale dans les 2 jours suivant l'accouchement, par quintile</t>
        </is>
      </c>
      <c r="D5" s="10" t="n"/>
      <c r="E5" s="10" t="n"/>
      <c r="F5" s="10" t="n"/>
      <c r="G5" s="10" t="n"/>
      <c r="H5" s="10" t="n"/>
      <c r="I5" s="7" t="inlineStr">
        <is>
          <t>EDS-Continue Sénégal (à confirmer)</t>
        </is>
      </c>
      <c r="J5" s="7" t="n"/>
      <c r="K5" s="10" t="n"/>
      <c r="L5" s="9" t="n"/>
      <c r="M5" s="7" t="inlineStr">
        <is>
          <t>À rechercher</t>
        </is>
      </c>
    </row>
    <row r="6">
      <c r="A6" s="7" t="inlineStr">
        <is>
          <t>E05</t>
        </is>
      </c>
      <c r="B6" s="8" t="inlineStr">
        <is>
          <t>Vaccination complète (PENTA3 / VAR1)</t>
        </is>
      </c>
      <c r="C6" s="8" t="inlineStr">
        <is>
          <t>Enfants 12-23 mois complètement vaccinés, par quintile</t>
        </is>
      </c>
      <c r="D6" s="10" t="n"/>
      <c r="E6" s="10" t="n"/>
      <c r="F6" s="10" t="n"/>
      <c r="G6" s="10" t="n"/>
      <c r="H6" s="10" t="n"/>
      <c r="I6" s="7" t="inlineStr">
        <is>
          <t>EDS-Continue Sénégal (à confirmer)</t>
        </is>
      </c>
      <c r="J6" s="7" t="n"/>
      <c r="K6" s="12" t="inlineStr">
        <is>
          <t>p.142 (PDF p.166)</t>
        </is>
      </c>
      <c r="L6" s="11" t="inlineStr">
        <is>
          <t>Données présentes (Tableau 10.4) mais structure à en-têtes multi-niveaux (doses 1/2/3 imbriquées par antigène, deux cohortes 12-23 et 24-35 mois) : extraction automatique fiable non réalisée pour éviter une erreur de colonne. Lecture manuelle directe recommandée pour la colonne 'Complètement vacciné (conformément au calendrier national)'.</t>
        </is>
      </c>
      <c r="M6" s="7" t="inlineStr">
        <is>
          <t>À rechercher</t>
        </is>
      </c>
    </row>
    <row r="7">
      <c r="A7" s="7" t="inlineStr">
        <is>
          <t>E06</t>
        </is>
      </c>
      <c r="B7" s="8" t="inlineStr">
        <is>
          <t>Recours aux soins - diarrhée infantile (SRO/zinc)</t>
        </is>
      </c>
      <c r="C7" s="8" t="inlineStr">
        <is>
          <t>Enfants avec diarrhée ayant reçu SRO/zinc, par quintile</t>
        </is>
      </c>
      <c r="D7" s="12" t="n">
        <v>35.1</v>
      </c>
      <c r="E7" s="12" t="n">
        <v>43.9</v>
      </c>
      <c r="F7" s="12" t="n">
        <v>46.8</v>
      </c>
      <c r="G7" s="12" t="n">
        <v>43</v>
      </c>
      <c r="H7" s="12" t="n">
        <v>49</v>
      </c>
      <c r="I7" s="12" t="inlineStr">
        <is>
          <t>EDS-Continue Sénégal 2023</t>
        </is>
      </c>
      <c r="J7" s="7" t="n">
        <v>2023</v>
      </c>
      <c r="K7" s="12" t="inlineStr">
        <is>
          <t>p.148 (PDF p.174)</t>
        </is>
      </c>
      <c r="L7" s="11" t="inlineStr">
        <is>
          <t>Tableau 10.9, colonne 'Pourcentage pour lesquels des conseils ou un traitement ont été recherchés' (toutes sources). Mesure le recours général, pas spécifiquement le traitement SRO/zinc (Tableau 10.11, non extrait) — à affiner si un indicateur plus spécifique est requis.</t>
        </is>
      </c>
      <c r="M7" s="7" t="inlineStr">
        <is>
          <t>Rempli</t>
        </is>
      </c>
    </row>
    <row r="8">
      <c r="A8" s="7" t="inlineStr">
        <is>
          <t>E07</t>
        </is>
      </c>
      <c r="B8" s="8" t="inlineStr">
        <is>
          <t>Recours aux soins - symptômes IRA</t>
        </is>
      </c>
      <c r="C8" s="8" t="inlineStr">
        <is>
          <t>Enfants avec symptômes IRA emmenés en consultation, par quintile</t>
        </is>
      </c>
      <c r="D8" s="10" t="n"/>
      <c r="E8" s="10" t="n"/>
      <c r="F8" s="10" t="n"/>
      <c r="G8" s="10" t="n"/>
      <c r="H8" s="10" t="n"/>
      <c r="I8" s="7" t="inlineStr">
        <is>
          <t>EDS-Continue Sénégal (à confirmer)</t>
        </is>
      </c>
      <c r="J8" s="7" t="n"/>
      <c r="K8" s="12" t="inlineStr"/>
      <c r="L8" s="11" t="inlineStr">
        <is>
          <t>Recherché : aucun tableau distinct 'IRA/symptômes respiratoires' identifié dans cet extrait (le Tableau 10.8 porte sur la fièvre en général, déjà utilisé comme proxy pour le paludisme dans l'onglet 2 — éviter de le réutiliser ici sans vérification). Vérifier directement dans le rapport complet si un tableau IRA existe (chapitre 10).</t>
        </is>
      </c>
      <c r="M8" s="7" t="inlineStr">
        <is>
          <t>À rechercher</t>
        </is>
      </c>
    </row>
    <row r="9">
      <c r="A9" s="7" t="inlineStr">
        <is>
          <t>E08</t>
        </is>
      </c>
      <c r="B9" s="8" t="inlineStr">
        <is>
          <t>Recours + traitement antipaludique (TDR positif)</t>
        </is>
      </c>
      <c r="C9" s="8" t="inlineStr">
        <is>
          <t>Enfants fébriles testés/traités pour le paludisme, par quintile</t>
        </is>
      </c>
      <c r="D9" s="12" t="n">
        <v>14.9</v>
      </c>
      <c r="E9" s="12" t="n">
        <v>13.9</v>
      </c>
      <c r="F9" s="12" t="n">
        <v>17</v>
      </c>
      <c r="G9" s="12" t="n">
        <v>18</v>
      </c>
      <c r="H9" s="12" t="n">
        <v>13.8</v>
      </c>
      <c r="I9" s="12" t="inlineStr">
        <is>
          <t>EDS-Continue Sénégal 2023</t>
        </is>
      </c>
      <c r="J9" s="7" t="n">
        <v>2023</v>
      </c>
      <c r="K9" s="12" t="inlineStr">
        <is>
          <t>p.178 (PDF p.204)</t>
        </is>
      </c>
      <c r="L9" s="11" t="inlineStr">
        <is>
          <t>Tableau 12.10, colonne 'Pourcentage pour lesquels on a prélevé du sang au doigt/talon pour être testé' (parmi enfants &lt;5 ans fébriles). Alternative disponible dans la même table : '% diagnostiqué positif par un prestataire' (9,6/8,9/10,1/7,0/5,5%) — non retenue ici car reflète la positivité réelle autant que l'accès.</t>
        </is>
      </c>
      <c r="M9" s="7" t="inlineStr">
        <is>
          <t>Rempli</t>
        </is>
      </c>
    </row>
    <row r="10">
      <c r="A10" s="7" t="inlineStr">
        <is>
          <t>E09</t>
        </is>
      </c>
      <c r="B10" s="8" t="inlineStr">
        <is>
          <t>Utilisation de moustiquaire imprégnée (MILDA)</t>
        </is>
      </c>
      <c r="C10" s="8" t="inlineStr">
        <is>
          <t>Population ayant dormi sous MILDA la nuit précédente, par quintile</t>
        </is>
      </c>
      <c r="D10" s="10" t="n"/>
      <c r="E10" s="10" t="n"/>
      <c r="F10" s="10" t="n"/>
      <c r="G10" s="10" t="n"/>
      <c r="H10" s="10" t="n"/>
      <c r="I10" s="7" t="inlineStr">
        <is>
          <t>EDS-Continue Sénégal (à confirmer)</t>
        </is>
      </c>
      <c r="J10" s="7" t="n"/>
      <c r="K10" s="10" t="n"/>
      <c r="L10" s="9" t="n"/>
      <c r="M10" s="7" t="inlineStr">
        <is>
          <t>À rechercher</t>
        </is>
      </c>
    </row>
    <row r="11">
      <c r="A11" s="7" t="inlineStr">
        <is>
          <t>E10</t>
        </is>
      </c>
      <c r="B11" s="8" t="inlineStr">
        <is>
          <t>Dépistage VIH (connaissance du statut)</t>
        </is>
      </c>
      <c r="C11" s="8" t="inlineStr">
        <is>
          <t>Population ayant déjà fait un test VIH et reçu le résultat, par quintile</t>
        </is>
      </c>
      <c r="D11" s="12" t="n">
        <v>22.3</v>
      </c>
      <c r="E11" s="12" t="n">
        <v>28.3</v>
      </c>
      <c r="F11" s="12" t="n">
        <v>29.4</v>
      </c>
      <c r="G11" s="12" t="n">
        <v>32.4</v>
      </c>
      <c r="H11" s="12" t="n">
        <v>38.1</v>
      </c>
      <c r="I11" s="12" t="inlineStr">
        <is>
          <t>EDS-Continue Sénégal 2023</t>
        </is>
      </c>
      <c r="J11" s="7" t="n">
        <v>2023</v>
      </c>
      <c r="K11" s="12" t="inlineStr">
        <is>
          <t>p.187 (PDF p.213)</t>
        </is>
      </c>
      <c r="L11" s="11" t="inlineStr">
        <is>
          <t>Tableau 13.5.1, colonne 'Pourcentage ayant déjà fait un test du VIH', FEMMES 15-49 ans uniquement. Tableau 13.5.2 (Homme) disponible séparément si une moyenne pondérée par sexe est souhaitée.</t>
        </is>
      </c>
      <c r="M11" s="7" t="inlineStr">
        <is>
          <t>Rempli</t>
        </is>
      </c>
    </row>
    <row r="12">
      <c r="A12" s="7" t="inlineStr">
        <is>
          <t>E11</t>
        </is>
      </c>
      <c r="B12" s="8" t="inlineStr">
        <is>
          <t>Traitement antirétroviral (parmi PVVIH connues)</t>
        </is>
      </c>
      <c r="C12" s="8" t="inlineStr">
        <is>
          <t>Couverture ARV parmi les personnes vivant avec le VIH, par quintile — hors EDS, source PNLS</t>
        </is>
      </c>
      <c r="D12" s="10" t="n"/>
      <c r="E12" s="10" t="n"/>
      <c r="F12" s="10" t="n"/>
      <c r="G12" s="10" t="n"/>
      <c r="H12" s="10" t="n"/>
      <c r="I12" s="7" t="inlineStr">
        <is>
          <t>EDS-Continue Sénégal (à confirmer)</t>
        </is>
      </c>
      <c r="J12" s="7" t="n"/>
      <c r="K12" s="10" t="n"/>
      <c r="L12" s="9" t="n"/>
      <c r="M12" s="7" t="inlineStr">
        <is>
          <t>À rechercher</t>
        </is>
      </c>
    </row>
    <row r="13">
      <c r="A13" s="7" t="inlineStr">
        <is>
          <t>E12</t>
        </is>
      </c>
      <c r="B13" s="8" t="inlineStr">
        <is>
          <t>Recours aux soins - suspicion tuberculose</t>
        </is>
      </c>
      <c r="C13" s="8" t="inlineStr">
        <is>
          <t>Pas de module EDS dédié — proxy : recours structure publique toutes causes (cf. tableau F)</t>
        </is>
      </c>
      <c r="D13" s="10" t="n"/>
      <c r="E13" s="10" t="n"/>
      <c r="F13" s="10" t="n"/>
      <c r="G13" s="10" t="n"/>
      <c r="H13" s="10" t="n"/>
      <c r="I13" s="7" t="inlineStr">
        <is>
          <t>EDS-Continue Sénégal (à confirmer)</t>
        </is>
      </c>
      <c r="J13" s="7" t="n"/>
      <c r="K13" s="10" t="n"/>
      <c r="L13" s="9" t="n"/>
      <c r="M13" s="7" t="inlineStr">
        <is>
          <t>À rechercher</t>
        </is>
      </c>
    </row>
    <row r="14">
      <c r="A14" s="7" t="inlineStr">
        <is>
          <t>E13</t>
        </is>
      </c>
      <c r="B14" s="8" t="inlineStr">
        <is>
          <t>Dépistage/suivi maladies non transmissibles</t>
        </is>
      </c>
      <c r="C14" s="8" t="inlineStr">
        <is>
          <t>Mesure tension artérielle/glycémie dans les 12 derniers mois, par quintile — source STEPS</t>
        </is>
      </c>
      <c r="D14" s="10" t="n"/>
      <c r="E14" s="10" t="n"/>
      <c r="F14" s="10" t="n"/>
      <c r="G14" s="10" t="n"/>
      <c r="H14" s="10" t="n"/>
      <c r="I14" s="7" t="inlineStr">
        <is>
          <t>EDS-Continue Sénégal (à confirmer)</t>
        </is>
      </c>
      <c r="J14" s="7" t="n"/>
      <c r="K14" s="10" t="n"/>
      <c r="L14" s="9" t="n"/>
      <c r="M14" s="7" t="inlineStr">
        <is>
          <t>À rechercher</t>
        </is>
      </c>
    </row>
    <row r="15">
      <c r="A15" s="7" t="inlineStr">
        <is>
          <t>E14</t>
        </is>
      </c>
      <c r="B15" s="8" t="inlineStr">
        <is>
          <t>Recours aux soins de santé mentale</t>
        </is>
      </c>
      <c r="C15" s="8" t="inlineStr">
        <is>
          <t>Aucun indicateur nationalement mesuré identifié — hypothèse par défaut à documenter</t>
        </is>
      </c>
      <c r="D15" s="10" t="n"/>
      <c r="E15" s="10" t="n"/>
      <c r="F15" s="10" t="n"/>
      <c r="G15" s="10" t="n"/>
      <c r="H15" s="10" t="n"/>
      <c r="I15" s="7" t="inlineStr">
        <is>
          <t>EDS-Continue Sénégal (à confirmer)</t>
        </is>
      </c>
      <c r="J15" s="7" t="n"/>
      <c r="K15" s="10" t="n"/>
      <c r="L15" s="9" t="n"/>
      <c r="M15" s="7" t="inlineStr">
        <is>
          <t>À rechercher</t>
        </is>
      </c>
    </row>
    <row r="16">
      <c r="A16" s="7" t="inlineStr">
        <is>
          <t>E15</t>
        </is>
      </c>
      <c r="B16" s="8" t="inlineStr">
        <is>
          <t>Supplémentation fer/acide folique (grossesse)</t>
        </is>
      </c>
      <c r="C16" s="8" t="inlineStr">
        <is>
          <t>Femmes ayant pris des suppléments de fer pendant la grossesse, par quintile</t>
        </is>
      </c>
      <c r="D16" s="10" t="n"/>
      <c r="E16" s="10" t="n"/>
      <c r="F16" s="10" t="n"/>
      <c r="G16" s="10" t="n"/>
      <c r="H16" s="10" t="n"/>
      <c r="I16" s="7" t="inlineStr">
        <is>
          <t>EDS-Continue Sénégal (à confirmer)</t>
        </is>
      </c>
      <c r="J16" s="7" t="n"/>
      <c r="K16" s="10" t="n"/>
      <c r="L16" s="9" t="n"/>
      <c r="M16" s="7" t="inlineStr">
        <is>
          <t>À rechercher</t>
        </is>
      </c>
    </row>
    <row r="17">
      <c r="A17" s="7" t="inlineStr">
        <is>
          <t>E16</t>
        </is>
      </c>
      <c r="B17" s="8" t="inlineStr">
        <is>
          <t>Recours moyen, toutes causes, structure publique</t>
        </is>
      </c>
      <c r="C17" s="8" t="inlineStr">
        <is>
          <t>Utilisé aussi comme base du coût d'opportunité (onglet 4) — recours à une structure publique/confessionnelle, toutes maladies, par quintile</t>
        </is>
      </c>
      <c r="D17" s="10" t="n"/>
      <c r="E17" s="10" t="n"/>
      <c r="F17" s="10" t="n"/>
      <c r="G17" s="10" t="n"/>
      <c r="H17" s="10" t="n"/>
      <c r="I17" s="7" t="inlineStr">
        <is>
          <t>EDS-Continue Sénégal (à confirmer)</t>
        </is>
      </c>
      <c r="J17" s="7" t="n"/>
      <c r="K17" s="10" t="n"/>
      <c r="L17" s="9" t="n"/>
      <c r="M17" s="7" t="inlineStr">
        <is>
          <t>À rechercher</t>
        </is>
      </c>
    </row>
  </sheetData>
  <dataValidations count="1">
    <dataValidation sqref="M2:M17" showDropDown="0" showInputMessage="0" showErrorMessage="0" allowBlank="1" type="list">
      <formula1>"À rechercher,Rempli,Vérifié"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4" customWidth="1" min="5" max="5"/>
    <col width="12" customWidth="1" min="6" max="6"/>
    <col width="30" customWidth="1" min="7" max="7"/>
    <col width="8" customWidth="1" min="8" max="8"/>
    <col width="44" customWidth="1" min="9" max="9"/>
    <col width="22" customWidth="1" min="10" max="10"/>
    <col width="44" customWidth="1" min="11" max="11"/>
    <col width="14" customWidth="1" min="12" max="12"/>
  </cols>
  <sheetData>
    <row r="1">
      <c r="A1" s="6" t="inlineStr">
        <is>
          <t>Q1 - Plus pauvre (%)</t>
        </is>
      </c>
      <c r="B1" s="6" t="inlineStr">
        <is>
          <t>Q2 (%)</t>
        </is>
      </c>
      <c r="C1" s="6" t="inlineStr">
        <is>
          <t>Q3 (%)</t>
        </is>
      </c>
      <c r="D1" s="6" t="inlineStr">
        <is>
          <t>Q4 (%)</t>
        </is>
      </c>
      <c r="E1" s="6" t="inlineStr">
        <is>
          <t>Q5 - Plus riche (%)</t>
        </is>
      </c>
      <c r="F1" s="6" t="inlineStr">
        <is>
          <t>Somme (contrôle)</t>
        </is>
      </c>
      <c r="G1" s="6" t="inlineStr">
        <is>
          <t>Source (enquête/rapport)</t>
        </is>
      </c>
      <c r="H1" s="6" t="inlineStr">
        <is>
          <t>Année</t>
        </is>
      </c>
      <c r="I1" s="6" t="inlineStr">
        <is>
          <t>Indicateur / Tableau exact (piste)</t>
        </is>
      </c>
      <c r="J1" s="6" t="inlineStr">
        <is>
          <t>Page / Tableau n° (à vérifier)</t>
        </is>
      </c>
      <c r="K1" s="6" t="inlineStr">
        <is>
          <t>Justification</t>
        </is>
      </c>
      <c r="L1" s="6" t="inlineStr">
        <is>
          <t>Statut</t>
        </is>
      </c>
    </row>
    <row r="2">
      <c r="A2" s="10" t="n"/>
      <c r="B2" s="10" t="n"/>
      <c r="C2" s="10" t="n"/>
      <c r="D2" s="10" t="n"/>
      <c r="E2" s="10" t="n"/>
      <c r="F2" s="7">
        <f>SUM(A2:E2)</f>
        <v/>
      </c>
      <c r="G2" s="7" t="inlineStr">
        <is>
          <t>EDS-Continue Sénégal / EHCVM (à confirmer)</t>
        </is>
      </c>
      <c r="H2" s="7" t="n"/>
      <c r="I2" s="8" t="inlineStr">
        <is>
          <t>Recherché mais non trouvé sous cette forme précise dans l'EDS-Continue 2023 : aucune table agrégée 'recours à une structure publique, toutes maladies confondues, par quintile' n'a été identifiée (les tables de recours aux soins — diarrhée, fièvre, accouchement — ne ventilent pas systématiquement secteur public/privé ET quintile dans la même ligne). Recommandation : consulter l'EHCVM (module santé, Enquête Harmonisée sur les Conditions de Vie des Ménages), qui documente typiquement le type de prestataire consulté par quintile.</t>
        </is>
      </c>
      <c r="J2" s="10" t="inlineStr"/>
      <c r="K2" s="8" t="inlineStr">
        <is>
          <t>À DÉFAUT : les indicateurs de recours déjà remplis (onglet 3 : diarrhée E06, paludisme E08, CPN4 E02, accouchement E03) donnent tous un gradient croissant net avec la richesse — un proxy de repli simple serait la MOYENNE de ces taux de recours par quintile, à documenter explicitement comme approximation si l'EHCVM n'est pas disponible.</t>
        </is>
      </c>
      <c r="L2" s="7" t="inlineStr">
        <is>
          <t>À rechercher</t>
        </is>
      </c>
    </row>
  </sheetData>
  <dataValidations count="1">
    <dataValidation sqref="L2" showDropDown="0" showInputMessage="0" showErrorMessage="0" allowBlank="1" type="list">
      <formula1>"À rechercher,Rempli,Vérifié"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46" customWidth="1" min="3" max="3"/>
    <col width="60" customWidth="1" min="4" max="4"/>
  </cols>
  <sheetData>
    <row r="1">
      <c r="A1" s="6" t="inlineStr">
        <is>
          <t>Paramètre</t>
        </is>
      </c>
      <c r="B1" s="6" t="inlineStr">
        <is>
          <t>Valeur</t>
        </is>
      </c>
      <c r="C1" s="6" t="inlineStr">
        <is>
          <t>Source</t>
        </is>
      </c>
      <c r="D1" s="6" t="inlineStr">
        <is>
          <t>Notes</t>
        </is>
      </c>
    </row>
    <row r="2">
      <c r="A2" s="8" t="inlineStr">
        <is>
          <t>CET actuel (seuil coût-efficacité)</t>
        </is>
      </c>
      <c r="B2" s="8" t="n">
        <v>435</v>
      </c>
      <c r="C2" s="8" t="inlineStr">
        <is>
          <t>config.R / classeur 'Data sources'!B15 (déjà utilisé dans le pipeline)</t>
        </is>
      </c>
      <c r="D2" s="8" t="inlineStr">
        <is>
          <t>Sert au classement league table (net health benefit). Probablement un seuil de disposition à payer, pas nécessairement un seuil de coût d'opportunité au sens Ochalek.</t>
        </is>
      </c>
    </row>
    <row r="3">
      <c r="A3" s="8" t="inlineStr">
        <is>
          <t>Seuil de coût d'opportunité (type Ochalek)</t>
        </is>
      </c>
      <c r="B3" s="9" t="n"/>
      <c r="C3" s="8" t="inlineStr">
        <is>
          <t>À rechercher (littérature type Woods et al. 2016 / Ochalek et al. 2015, ou étude Sénégal dédiée)</t>
        </is>
      </c>
      <c r="D3" s="8" t="inlineStr">
        <is>
          <t>Nécessaire pour répartir correctement le coût d'opportunité par quintile (onglet 4). Si absent, documenter l'hypothèse de réutiliser le CET=435 en le signalant comme limite.</t>
        </is>
      </c>
    </row>
    <row r="4">
      <c r="A4" s="8" t="inlineStr">
        <is>
          <t>Paramètre d'aversion à l'inégalité (Atkinson, ε)</t>
        </is>
      </c>
      <c r="B4" s="8" t="n">
        <v>10</v>
      </c>
      <c r="C4" s="8" t="inlineStr">
        <is>
          <t>Valeur de départ utilisée par Arnold et al. (2020) pour le Malawi, faute d'estimation nationale</t>
        </is>
      </c>
      <c r="D4" s="8" t="inlineStr">
        <is>
          <t>À tester en sensibilité (ex. ε=2 et ε=25) une fois le codage R lancé.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2026-09-05T04:18:53Z</dcterms:created>
  <dcterms:modified xsi:type="dcterms:W3CDTF">2026-09-05T04:35:40Z</dcterms:modified>
</cp:coreProperties>
</file>